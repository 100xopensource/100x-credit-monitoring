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Income Statement" sheetId="1" state="visible" r:id="rId3"/>
    <sheet name="Balance Sheet" sheetId="2" state="visible" r:id="rId4"/>
    <sheet name="Cash Flow Statement" sheetId="3" state="visible" r:id="rId5"/>
    <sheet name="Sources &amp; Not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<sst xmlns="http://schemas.openxmlformats.org/spreadsheetml/2006/main" count="153" uniqueCount="104">
  <si>
    <t xml:space="preserve">Veyrona Decision Systems, LLC | Detailed Income Statement</t>
  </si>
  <si>
    <t xml:space="preserve">Company-prepared monthly reporting package | USD, whole dollars (scale=1) | Unaudited | Source: Finance Reporting/&lt;YYYY&gt;/&lt;MM&gt;/&lt;Month&gt;_&lt;Year&gt;_Monthly_Package.xlsx, 'Income Statement' tab (Mar/Apr/May 2026: Quarterly_Package_2026-06-25_REVISED_MARCH-MAY.xlsx; Jun 2026: June_2026_Monthly_Package_2026-07-25.xlsx). Mar 2026 Revenue and Cost of Revenue are RESTATED -- see Sources &amp; Notes and restatements.json.</t>
  </si>
  <si>
    <t xml:space="preserve">Account</t>
  </si>
  <si>
    <t xml:space="preserve">Sep 2024</t>
  </si>
  <si>
    <t xml:space="preserve">Oct 2024</t>
  </si>
  <si>
    <t xml:space="preserve">Nov 2024</t>
  </si>
  <si>
    <t xml:space="preserve">Dec 2024</t>
  </si>
  <si>
    <t xml:space="preserve">Jan 2025</t>
  </si>
  <si>
    <t xml:space="preserve">Feb 2025</t>
  </si>
  <si>
    <t xml:space="preserve">Mar 2025</t>
  </si>
  <si>
    <t xml:space="preserve">Apr 2025</t>
  </si>
  <si>
    <t xml:space="preserve">May 2025</t>
  </si>
  <si>
    <t xml:space="preserve">Jun 2025</t>
  </si>
  <si>
    <t xml:space="preserve">Jul 2025</t>
  </si>
  <si>
    <t xml:space="preserve">Aug 2025</t>
  </si>
  <si>
    <t xml:space="preserve">Sep 2025</t>
  </si>
  <si>
    <t xml:space="preserve">Oct 2025</t>
  </si>
  <si>
    <t xml:space="preserve">Nov 2025</t>
  </si>
  <si>
    <t xml:space="preserve">Dec 2025</t>
  </si>
  <si>
    <t xml:space="preserve">Jan 2026</t>
  </si>
  <si>
    <t xml:space="preserve">Feb 2026</t>
  </si>
  <si>
    <t xml:space="preserve">Mar 2026</t>
  </si>
  <si>
    <t xml:space="preserve">Apr 2026</t>
  </si>
  <si>
    <t xml:space="preserve">May 2026</t>
  </si>
  <si>
    <t xml:space="preserve">Jun 2026</t>
  </si>
  <si>
    <t xml:space="preserve">FY2024 (Sep-Dec, partial)</t>
  </si>
  <si>
    <t xml:space="preserve">FY2025</t>
  </si>
  <si>
    <t xml:space="preserve">2026 YTD (Jan-Jun)</t>
  </si>
  <si>
    <t xml:space="preserve">Revenue</t>
  </si>
  <si>
    <t xml:space="preserve">Cost of Revenue</t>
  </si>
  <si>
    <t xml:space="preserve">Gross Profit (derived)</t>
  </si>
  <si>
    <t xml:space="preserve">Operating Expenses</t>
  </si>
  <si>
    <t xml:space="preserve">Reported EBITDA</t>
  </si>
  <si>
    <t xml:space="preserve">Veyrona Decision Systems, LLC | Detailed Balance Sheet</t>
  </si>
  <si>
    <t xml:space="preserve">Company-prepared monthly reporting package | USD, whole dollars (scale=1) | Unaudited | Source: Finance Reporting/&lt;YYYY&gt;/&lt;MM&gt;/&lt;Month&gt;_&lt;Year&gt;_Monthly_Package.xlsx, 'Balance Sheet' tab (Mar/Apr/May 2026: Quarterly_Package_2026-06-25_REVISED_MARCH-MAY.xlsx; Jun 2026: June_2026_Monthly_Package_2026-07-25.xlsx). No native Total Assets/Total Liabilities/Total Equity or Balance-Check row exists anywhere in this borrower's reporting -- disclosed gap, see Sources &amp; Notes. Contract Asset/Accrued Cost/Retained Earnings Effect for Mar-May 2026 are RESTATED.</t>
  </si>
  <si>
    <t xml:space="preserve">FY2024 (Sep-Dec, spot)</t>
  </si>
  <si>
    <t xml:space="preserve">FY2025 (spot)</t>
  </si>
  <si>
    <t xml:space="preserve">2026 YTD (Jun, spot)</t>
  </si>
  <si>
    <t xml:space="preserve">Cash</t>
  </si>
  <si>
    <t xml:space="preserve">Accounts Receivable</t>
  </si>
  <si>
    <t xml:space="preserve">Contract Asset</t>
  </si>
  <si>
    <t xml:space="preserve">Accounts Payable</t>
  </si>
  <si>
    <t xml:space="preserve">Accrued Cost</t>
  </si>
  <si>
    <t xml:space="preserve">Funded Debt</t>
  </si>
  <si>
    <t xml:space="preserve">Retained Earnings Effect</t>
  </si>
  <si>
    <t xml:space="preserve">Net Debt (derived: Funded Debt - Cash)</t>
  </si>
  <si>
    <t xml:space="preserve">DEBT &amp; LIQUIDITY (borrower-certified roll-forward; source: Debt &amp; Liquidity tab)</t>
  </si>
  <si>
    <t xml:space="preserve">Beginning Debt</t>
  </si>
  <si>
    <t xml:space="preserve">Legacy Debt Payoff</t>
  </si>
  <si>
    <t xml:space="preserve">New Facility Funding</t>
  </si>
  <si>
    <t xml:space="preserve">Scheduled Principal</t>
  </si>
  <si>
    <t xml:space="preserve">Ending Debt</t>
  </si>
  <si>
    <t xml:space="preserve">PIK</t>
  </si>
  <si>
    <t xml:space="preserve">Memo: Debt tie across schedules (Funded Debt - Ending Debt, diff should be 0)</t>
  </si>
  <si>
    <t xml:space="preserve">Veyrona Decision Systems, LLC | Detailed Cash Flow Statement (as reported; native Operating/Investing/Financing split)</t>
  </si>
  <si>
    <t xml:space="preserve">Company-prepared monthly reporting package | USD, whole dollars (scale=1) | Unaudited | Source: Finance Reporting/&lt;YYYY&gt;/&lt;MM&gt;/&lt;Month&gt;_&lt;Year&gt;_Monthly_Package.xlsx, 'Cash Flow' tab (Mar/Apr/May 2026: Quarterly_Package_2026-06-25_REVISED_MARCH-MAY.xlsx; Jun 2026: June_2026_Monthly_Package_2026-07-25.xlsx). As-reported -- native Operating/Investing/Financing Change columns, no derivation needed.</t>
  </si>
  <si>
    <t xml:space="preserve">Beginning Cash</t>
  </si>
  <si>
    <t xml:space="preserve">Operating Change</t>
  </si>
  <si>
    <t xml:space="preserve">Investing Change</t>
  </si>
  <si>
    <t xml:space="preserve">Financing Change</t>
  </si>
  <si>
    <t xml:space="preserve">Ending Cash</t>
  </si>
  <si>
    <t xml:space="preserve">Memo: Net Change in Cash (Ending - Beginning)</t>
  </si>
  <si>
    <t xml:space="preserve">Memo: Net Change in Cash (sum of Operating+Investing+Financing)</t>
  </si>
  <si>
    <t xml:space="preserve">Memo: CF internal tie (diff, should be 0)</t>
  </si>
  <si>
    <t xml:space="preserve">Memo: Cash per Balance Sheet</t>
  </si>
  <si>
    <t xml:space="preserve">Memo: CF-vs-BS Cash tie (Ending Cash - BS Cash, diff should be 0)</t>
  </si>
  <si>
    <t xml:space="preserve">Entity</t>
  </si>
  <si>
    <t xml:space="preserve">Veyrona Decision Systems, LLC (consolidated) -- per borrower-config model.entity='consolidated'. No separate divisional/standalone consolidation level is offered in the reporting package.</t>
  </si>
  <si>
    <t xml:space="preserve">Units</t>
  </si>
  <si>
    <t xml:space="preserve">USD, whole dollars (model.scale = 1). Verified against June 2026 revenue ($19,921,004.84) and FY2024 annual revenue ($213,000,000.00, ~$17.75M/month average), same unit; no '$ in thousands' caption anywhere in the source workbooks.</t>
  </si>
  <si>
    <t xml:space="preserve">Basis</t>
  </si>
  <si>
    <t xml:space="preserve">Actuals only -- company-prepared monthly reporting packages (Finance Reporting), unaudited. No proforma/budget/forecast columns included. Each monthly package's 'Package Authority' tab states 'AS FILED' generically (a point-in-time filing label, not a restatement flag) except the two June-quarter-close files, whose Authority fields explicitly mark them as the revised/authoritative source for March-May 2026 and the authoritative June close respectively.</t>
  </si>
  <si>
    <t xml:space="preserve">Coverage</t>
  </si>
  <si>
    <t xml:space="preserve">Sep 2024 through Jun 2026 (22 months), continuous, no gaps. Sep 2024-Feb 2026 (18 months) from each month's own individual monthly package. Mar/Apr/May 2026 from the REVISED consolidated file (see restatement note below), NOT their individual monthly packages, which are confirmed stale. Jun 2026 from its own regular monthly package.</t>
  </si>
  <si>
    <t xml:space="preserve">Primary source files</t>
  </si>
  <si>
    <t xml:space="preserve">One &lt;Month&gt;_&lt;Year&gt;_Monthly_Package.xlsx (or ..._AS_FILED_Monthly_Package.xlsx -- both are point-in-time filing labels, not restatement flags, confirmed by monitor-setup's investigation) per month, Sep 2024 through Feb 2026 -- single-period snapshot, four statement tabs (Income Statement, Balance Sheet, Cash Flow, Debt &amp; Liquidity), verified identical schema across Sep 2024, Jun 2025 and Jun 2026. Mar/Apr/May 2026 from Finance Reporting/2026/Q2/June Close/Quarterly_Package_2026-06-25_REVISED_MARCH-MAY.xlsx (issued 2026-06-25). Jun 2026 from Finance Reporting/2026/Q2/June Close/June_2026_Monthly_Package_2026-07-25.xlsx (filed 2026-07-25; its own March-May comparative columns independently verified identical to the REVISED file, confirming no second restatement occurred). Quarterly_Package_2026-06-18_ORIGINAL.xlsx in the same folder is the pre-restatement original and was NOT used anywhere in this build. See source-map.json for the exact file per statement per month.</t>
  </si>
  <si>
    <t xml:space="preserve">RESTATEMENT -- March 2026 (Atlas Acceptance milestone, non-cash)</t>
  </si>
  <si>
    <t xml:space="preserve">Per Restatement_Notice_2026-06-20.pdf: Veyrona's finance team found an OMITTED completed implementation milestone (customer Arcwell Transit, project 'Atlas Acceptance', accepted 2026-03-29 but not booked at the March close). Entry is NON-CASH (Dr. Contract asset / Cr. Implementation revenue $492,189.73; Dr. Direct implementation costs / Cr. Accrued implementation costs $452,814.55) -- cash flow and the debt schedule are untouched (verified: Mar/Apr/May Cash Flow and Debt &amp; Liquidity figures are IDENTICAL between the stale individual packages and the REVISED file). March 2026 Income Statement: Revenue $13,570,373.98 -&gt; $14,062,563.71 (+$492,189.73); Cost of Revenue $7,328,001.95 -&gt; $7,780,816.50 (+$452,814.55); Operating Expenses UNCHANGED ($3,229,895.60); Reported EBITDA $3,012,476.43 -&gt; $3,051,851.61 (+$39,375.18 net). March/April/May 2026 Balance Sheet: Contract Asset $5,000,000.00 -&gt; $5,492,189.73; Accrued Cost $2,000,000.00 -&gt; $2,452,814.55; Retained Earnings Effect $0.00 -&gt; $39,375.18, in ALL THREE months (the correction is a cumulative snapshot carried forward on the balance sheet even though only March's income statement changed). April and May 2026 Income Statement figures are IDENTICAL in the stale individual packages and the REVISED file -- confirmed by direct comparison; only their Balance Sheet figures were stale. AUTHORITATIVE FILE FOR MARCH, APRIL AND MAY 2026: Quarterly_Package_2026-06-25_REVISED_MARCH-MAY.xlsx. CONFIRMED STALE, NEVER REISSUED: March_2026_AS_FILED_Monthly_Package.xlsx (wrong on BOTH income statement and balance sheet), April_2026_Monthly_Package.xlsx and May_2026_AS_FILED_Monthly_Package.xlsx (correct income statement, stale balance sheet). All twelve restated line values are logged old-&gt;new in restatements.json (material=true in every case: each exceeds the greater of $25k or 1% of the prior value).</t>
  </si>
  <si>
    <t xml:space="preserve">Restatement scan -- scope</t>
  </si>
  <si>
    <t xml:space="preserve">Full scan performed across all 22 months: each individual month's own package compared against the REVISED consolidated file (the only file whose range overlaps any individual month, covering Mar-May 2026) and against June_2026_Monthly_Package_2026-07-25.xlsx for its own Mar-May comparative columns (which matched the REVISED file exactly, confirming no further restatement). Result: March 2026 Income Statement + Balance Sheet, and April/May 2026 Balance Sheet only, differ (see above); no other month has a second source to compare against (each individual month is a single-period snapshot with no other overlapping file). No prior canonical model existed for this borrower (first build), so no prior-snapshot diff applies.</t>
  </si>
  <si>
    <t xml:space="preserve">Income Statement -- four-row native cadence (JUDGMENT CALL, per borrower-config.json model_lines._construction_note)</t>
  </si>
  <si>
    <t xml:space="preserve">The borrower's monthly Income Statement has EXACTLY four native rows -- Revenue, Cost of Revenue, Operating Expenses, Reported EBITDA -- with no native Gross Profit, Net Income, Interest Expense, Taxes, or D&amp;A anywhere on the IS, Cash Flow, or Debt &amp; Liquidity tabs. Veyrona is also a pass-through LLC with no entity-level income tax (FY2022-FY2024 Reviewed Financial Statements) -- taxes is a genuine N/A, not merely unreported. Per borrower-config's pre-defined construction, a DERIVED 'Gross Profit (derived)' row = Revenue - Cost of Revenue is inserted between Cost of Revenue and Operating Expenses/Reported EBITDA. VERIFIED exact against FY2024 annual audited figures: $213,000,000.00 - $115,020,000.00 = $97,980,000.00 Gross Profit; $97,980,000.00 - $64,519,339.31 Operating Expenses = $33,460,660.69, tying EXACTLY to disclosed Covenant EBITDA -- not a guess. net_income/interest_expense/taxes/depreciation_amortization are left BLANK/unmapped in model_lines rather than guessed -- there is no cash-basis proxy for any of them anywhere in this borrower's reporting; three-statement-analysis will report these in lines_not_found with dependent ratios suppressed.</t>
  </si>
  <si>
    <t xml:space="preserve">EBITDA bridge</t>
  </si>
  <si>
    <t xml:space="preserve">Per covenant-spec.json#/definitions/Covenant_EBITDA, compute.ebitda_bridge = 'Reported EBITDA' -- the model's own single pinned EBITDA row (Revenue - Cost of Revenue - Operating Expenses), bound directly with ZERO addback. Verified exact match to certified Covenant EBITDA in every one of six quarterly Covenant_Calculation workbooks filed 2025 Q1 through 2026 Q2 ('Permitted add-backs: $0' every quarter), and to the FY2024 Reviewed Financial Statements' own EBITDA of $33,460,660.69. This EBITDA bridge is NOT provisional -- it is the covenant-spec-directed definition, with a covenant-spec.json present.</t>
  </si>
  <si>
    <t xml:space="preserve">Balance Sheet -- NO native totals (JUDGMENT CALL, per borrower-config.json analysis_lines._omitted_note; same pattern as this portfolio's Selvara build)</t>
  </si>
  <si>
    <t xml:space="preserve">This borrower's monthly Balance Sheet carries NO Total Assets / Total Liabilities / Total Equity anywhere -- only Cash, Accounts Receivable, Contract Asset, Accounts Payable, Accrued Cost, Funded Debt, and Retained Earnings Effect, verified identical across every month checked (Sep 2024 through Jun 2026). Consequently NO Balance-Check row is written -- inventing Total Assets/Liabilities/Equity from data the borrower does not report would misstate the model; this is a disclosed, borrower-config-documented gap, not an omission (the same reading used for Selvara elsewhere in this batch, which also carries no native Balance Sheet totals). The closest native cross-check is the source package's own 'Balance-sheet bridge' control check (Contract Asset - Accrued Cost - Retained Earnings Effect - $3,000,000 = 0 every month, verified), which is a partial identity, not a full double-entry balance.</t>
  </si>
  <si>
    <t xml:space="preserve">Net Debt (derived row)</t>
  </si>
  <si>
    <t xml:space="preserve">Per covenant-spec.json#/definitions/Net_Debt engine-design note: the covenant engine's 'formula' compute supports only op:'sum', so it cannot express Funded Debt minus Unrestricted Cash directly. 'Net Debt (derived: Funded Debt - Cash)' is added as a real model row (Balance Sheet row 15) so the covenant engine can read it as a plain model_line rather than a formula. VERIFIED against all six Covenant_Calculation workbooks filed to date (2025 Q1 through 2026 Q2): Net Debt = Funded Debt - Unrestricted Cash exactly every quarter, with both 'Debt check' and 'Ratio check' residual lines equal to 0.00 in every filing.</t>
  </si>
  <si>
    <t xml:space="preserve">Funded Debt -- sourced from the certified Balance Sheet, NOT the generated debt-service schedule (JUDGMENT CALL, per covenant-spec.json step7_signoff decision 'amortization_mechanic_declining_balance')</t>
  </si>
  <si>
    <t xml:space="preserve">The facility's '0.60% of beginning principal monthly' amortization clause is ambiguous between flat-off-original-principal (what the debt-service engine's v1 schedule models) and declining balance (0.60% of each month's own opening balance). The borrower's own 18+ months of certified Debt &amp; Liquidity figures resolve this as DECLINING BALANCE (e.g. Jan 2025 scheduled principal $1,123,649.58 shrinking to $1,032,857.19 by Mar 2026, tracking a declining base), and the generated debt-service-schedule.json is a known flat-base approximation, already ~5.2% too high cumulative by June 2026 per the analyst's own step-7 sign-off. 'Funded Debt' (Balance Sheet row 12) is therefore sourced directly from each month's own certified Balance Sheet / Debt &amp; Liquidity 'Ending Debt' figure (the two tie exactly every month checked -- see row 25 memo tie, and independently against the Covenant_Calculation workbooks: e.g. Q1'25 $183,924,166.39, Q2'26 $168,048,469.80), NOT from debt-service-schedule.json's generated principal/balance figures.</t>
  </si>
  <si>
    <t xml:space="preserve">Interest expense / Cash Interest -- genuinely unmapped, NOT modeled (per covenant-spec.json step7_signoff decision 'interest_rate_placeholder')</t>
  </si>
  <si>
    <t xml:space="preserve">The facility's true interest rate, index/margin, and day-count convention are absent from every executed document (Original Credit Agreement + all three Amendments) -- a genuine drafting gap, not an oversight. The borrower's own monthly packages carry NO interest-expense line at all anywhere (the Income Statement stops at Reported EBITDA; the Cash Flow and Debt &amp; Liquidity tabs likewise carry no interest line). debt-service-schedule.json's cash-interest figures use a 1bp non-contractual PLACEHOLDER rate that the analyst's own step-7 sign-off flags as VOID pending confirmation of the true rate directly with Granite Harbor Direct Lending, LP. model_lines.interest_expense is left BLANK/unmapped in borrower-config -- this model does not fabricate an interest-expense row from the void placeholder. three-statement-analysis will report interest_expense in lines_not_found with interest-coverage ratios suppressed.</t>
  </si>
  <si>
    <t xml:space="preserve">COVENANT-SUPPORT ROWS -- NOT POPULATED (judgment call; flagged for analyst review)</t>
  </si>
  <si>
    <t xml:space="preserve">assembling-rules.md's Method step 5a normally directs populating 'Cash Interest Expense' / 'Scheduled Debt Principal Payments' rows from debt-service-schedule.json's covenant_support block. Two independent reasons this model does NOT add those rows for Veyrona: (1) covenant-spec.json's sole financial covenant is the Maximum Net Leverage Ratio (Net Debt / Covenant EBITDA) -- there is no Fixed Charges / coverage covenant anywhere in this covenant-spec for such rows to bind to, unlike a sibling facility with an FCCR test. (2) Even as reference-only detail, the schedule's covenant_support.monthly cash-interest figures are built off the same VOID 1bp placeholder rate described above, and its scheduled-principal figures are the same flat-base approximation superseded by the certified declining-balance figures used for Funded Debt in this model -- writing either would either fabricate a void interest figure or duplicate the Debt &amp; Liquidity block's 'Scheduled Principal' row with a less-precise number. debt-service-schedule.json exists (generated 2026-09-16) but is NOT used anywhere in this model except as the source of the general '0.60%/month declining balance vs. flat-base' finding already described above. This is a genuine, disclosed gap -- there is no Fixed Charges input to compute in this covenant-spec, so no coverage ratio is suppressed by its absence.</t>
  </si>
  <si>
    <t xml:space="preserve">Cash Flow -- as-reported, native Operating/Investing/Financing split (no derivation needed)</t>
  </si>
  <si>
    <t xml:space="preserve">Unlike several sibling borrowers in this batch, this borrower's native 'Cash Flow' tab already carries Beginning Cash, Operating Change, Investing Change, Financing Change and Ending Cash (=SUM of the four) -- a full native three-way split, verified to chain exactly across all 22 months (each month's Ending Cash = next month's Beginning Cash, zero exceptions). Used AS REPORTED, rows 7-10; Ending Cash (row 11) = SUM(row7:row10), matching the source formula exactly. Memo rows 13-15 tie the two ways of computing net change in cash (Ending-Beginning vs. sum of the three Change rows) to zero every month. Memo rows 16-17 tie CF Ending Cash to the Balance Sheet's own Cash row -- verified exact every month (e.g. Sep 2024 both $9,566,562.26; Jun 2026 both $10,322,837.62). No CF-vs-IS EBITDA tie is presented: unlike an indirect-method CF statement built up from EBITDA, this borrower's 'Operating Change' is an independently reported net cash figure with no formulaic relationship to EBITDA (e.g. Sep 2024 EBITDA $3,015,947.48 vs. Operating Change $26,562.26) -- a manufactured EBITDA tie here would imply an identity that does not exist in the source data.</t>
  </si>
  <si>
    <t xml:space="preserve">AR tie-out (sanity check, per borrower-config.json aging._verification_note)</t>
  </si>
  <si>
    <t xml:space="preserve">June 2026 Balance Sheet Accounts Receivable ($26,793,751.51) ties EXACTLY to the June 2026 AP_AR_Aging_June_2026.xlsx total across its 12 named-customer rows -- confirmed on this build. Accounts Payable ($10,757,342.61) ties exactly as well. AP/AR aging and Sales-by-Channel workbooks are inputs to the ap-ar-aging module, not consolidated into this IS/BS/CF model.</t>
  </si>
  <si>
    <t xml:space="preserve">Materiality threshold (pinned)</t>
  </si>
  <si>
    <t xml:space="preserve">Restatement / tie-out materiality threshold: the greater of $25,000 or 1% of the line, per assembling-rules.md standard. Triggered this build: the twelve March/April/May 2026 restated lines listed above (each exceeds the threshold; e.g. March Revenue +$492,189.73 / 3.63%, March Accrued Cost +$452,814.55 / 22.64%, April/May Retained Earnings Effect $0.00 -&gt; $39,375.18 each).</t>
  </si>
  <si>
    <t xml:space="preserve">Validation</t>
  </si>
  <si>
    <t xml:space="preserve">Income Statement subtotals (Gross Profit, Reported EBITDA) foot exactly for all 22 months. Debt &amp; Liquidity 'Ending Debt' ties to the Balance Sheet's own 'Funded Debt' every month (memo row 25, diff = 0). Cash Flow 'Ending Cash' ties to the Balance Sheet's own 'Cash' every month (memo rows 16-17, diff = 0). No Balance-Check row exists (no native Balance Sheet totals in this borrower's reporting -- disclosed gap, not an omission, same reading as Selvara elsewhere in this batch).</t>
  </si>
  <si>
    <t xml:space="preserve">Build tool / recalc</t>
  </si>
  <si>
    <t xml:space="preserve">Built with openpyxl; formula cells recalculated (cached values populated) via headless LibreOffice as the LAST write, per assembling-rules.md. Gated with references/validate_model.py before becoming canonical.</t>
  </si>
</sst>
</file>

<file path=xl/styles.xml><?xml version="1.0" encoding="utf-8"?>
<styleSheet xmlns="http://schemas.openxmlformats.org/spreadsheetml/2006/main">
  <numFmts count="3">
    <numFmt numFmtId="164" formatCode="General"/>
    <numFmt numFmtId="165" formatCode="@"/>
    <numFmt numFmtId="166" formatCode="#,##0.00"/>
  </numFmts>
  <fonts count="9">
    <font>
      <sz val="11"/>
      <color theme="1"/>
      <name val="Calibri"/>
      <family val="2"/>
      <charset val="1"/>
    </font>
    <font>
      <sz val="10"/>
      <name val="Arial"/>
      <family val="0"/>
    </font>
    <font>
      <sz val="10"/>
      <name val="Arial"/>
      <family val="0"/>
    </font>
    <font>
      <sz val="10"/>
      <name val="Arial"/>
      <family val="0"/>
    </font>
    <font>
      <b val="true"/>
      <sz val="11"/>
      <name val="Calibri"/>
      <family val="0"/>
      <charset val="1"/>
    </font>
    <font>
      <sz val="11"/>
      <name val="Calibri"/>
      <family val="0"/>
      <charset val="1"/>
    </font>
    <font>
      <b val="true"/>
      <sz val="11"/>
      <name val="Cambria"/>
      <family val="0"/>
      <charset val="1"/>
    </font>
    <font>
      <sz val="11"/>
      <color rgb="FF0000FF"/>
      <name val="Cambria"/>
      <family val="0"/>
      <charset val="1"/>
    </font>
    <font>
      <sz val="11"/>
      <color rgb="FF000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8"/>
    <col collapsed="false" customWidth="true" hidden="false" outlineLevel="0" max="26" min="2" style="0" width="15"/>
  </cols>
  <sheetData>
    <row r="1" customFormat="false" ht="15" hidden="false" customHeight="false" outlineLevel="0" collapsed="false">
      <c r="A1" s="1" t="s">
        <v>0</v>
      </c>
    </row>
    <row r="2" customFormat="false" ht="15" hidden="false" customHeight="false" outlineLevel="0" collapsed="false">
      <c r="A2" s="2" t="s">
        <v>1</v>
      </c>
    </row>
    <row r="6" customFormat="false" ht="15" hidden="false" customHeight="false" outlineLevel="0" collapsed="false">
      <c r="A6" s="3" t="s">
        <v>2</v>
      </c>
      <c r="B6" s="4" t="s">
        <v>3</v>
      </c>
      <c r="C6" s="4" t="s">
        <v>4</v>
      </c>
      <c r="D6" s="4" t="s">
        <v>5</v>
      </c>
      <c r="E6" s="4" t="s">
        <v>6</v>
      </c>
      <c r="F6" s="4" t="s">
        <v>7</v>
      </c>
      <c r="G6" s="4" t="s">
        <v>8</v>
      </c>
      <c r="H6" s="4" t="s">
        <v>9</v>
      </c>
      <c r="I6" s="4" t="s">
        <v>10</v>
      </c>
      <c r="J6" s="4" t="s">
        <v>11</v>
      </c>
      <c r="K6" s="4" t="s">
        <v>12</v>
      </c>
      <c r="L6" s="4" t="s">
        <v>13</v>
      </c>
      <c r="M6" s="4" t="s">
        <v>14</v>
      </c>
      <c r="N6" s="4" t="s">
        <v>15</v>
      </c>
      <c r="O6" s="4" t="s">
        <v>16</v>
      </c>
      <c r="P6" s="4" t="s">
        <v>17</v>
      </c>
      <c r="Q6" s="4" t="s">
        <v>18</v>
      </c>
      <c r="R6" s="4" t="s">
        <v>19</v>
      </c>
      <c r="S6" s="4" t="s">
        <v>20</v>
      </c>
      <c r="T6" s="4" t="s">
        <v>21</v>
      </c>
      <c r="U6" s="4" t="s">
        <v>22</v>
      </c>
      <c r="V6" s="4" t="s">
        <v>23</v>
      </c>
      <c r="W6" s="4" t="s">
        <v>24</v>
      </c>
      <c r="X6" s="3" t="s">
        <v>25</v>
      </c>
      <c r="Y6" s="3" t="s">
        <v>26</v>
      </c>
      <c r="Z6" s="3" t="s">
        <v>27</v>
      </c>
    </row>
    <row r="7" customFormat="false" ht="15" hidden="false" customHeight="false" outlineLevel="0" collapsed="false">
      <c r="A7" s="2" t="s">
        <v>28</v>
      </c>
      <c r="B7" s="5" t="n">
        <v>19209856.56</v>
      </c>
      <c r="C7" s="5" t="n">
        <v>16819871.13</v>
      </c>
      <c r="D7" s="5" t="n">
        <v>18853634.7</v>
      </c>
      <c r="E7" s="5" t="n">
        <v>20298743.92</v>
      </c>
      <c r="F7" s="5" t="n">
        <v>16165987.45</v>
      </c>
      <c r="G7" s="5" t="n">
        <v>16986903.35</v>
      </c>
      <c r="H7" s="5" t="n">
        <v>18295101.46</v>
      </c>
      <c r="I7" s="5" t="n">
        <v>15167051.45</v>
      </c>
      <c r="J7" s="5" t="n">
        <v>17000965.36</v>
      </c>
      <c r="K7" s="5" t="n">
        <v>18304069.67</v>
      </c>
      <c r="L7" s="5" t="n">
        <v>14561122.06</v>
      </c>
      <c r="M7" s="5" t="n">
        <v>15303090.06</v>
      </c>
      <c r="N7" s="5" t="n">
        <v>16484289.18</v>
      </c>
      <c r="O7" s="5" t="n">
        <v>16175355.17</v>
      </c>
      <c r="P7" s="5" t="n">
        <v>16993842.48</v>
      </c>
      <c r="Q7" s="5" t="n">
        <v>18299527.68</v>
      </c>
      <c r="R7" s="5" t="n">
        <v>16954731.23</v>
      </c>
      <c r="S7" s="5" t="n">
        <v>17818666.56</v>
      </c>
      <c r="T7" s="5" t="n">
        <v>14062563.71</v>
      </c>
      <c r="U7" s="5" t="n">
        <v>17608614.5</v>
      </c>
      <c r="V7" s="5" t="n">
        <v>18499625.95</v>
      </c>
      <c r="W7" s="5" t="n">
        <v>19921004.84</v>
      </c>
      <c r="X7" s="6" t="n">
        <f aca="false">SUM(B7:E7)</f>
        <v>75182106.31</v>
      </c>
      <c r="Y7" s="6" t="n">
        <f aca="false">SUM(F7:Q7)</f>
        <v>199737305.37</v>
      </c>
      <c r="Z7" s="6" t="n">
        <f aca="false">SUM(R7:W7)</f>
        <v>104865206.79</v>
      </c>
    </row>
    <row r="8" customFormat="false" ht="15" hidden="false" customHeight="false" outlineLevel="0" collapsed="false">
      <c r="A8" s="2" t="s">
        <v>29</v>
      </c>
      <c r="B8" s="5" t="n">
        <v>10373322.54</v>
      </c>
      <c r="C8" s="5" t="n">
        <v>9082730.41</v>
      </c>
      <c r="D8" s="5" t="n">
        <v>10180962.74</v>
      </c>
      <c r="E8" s="5" t="n">
        <v>10961321.72</v>
      </c>
      <c r="F8" s="5" t="n">
        <v>8729633.22</v>
      </c>
      <c r="G8" s="5" t="n">
        <v>9172927.81</v>
      </c>
      <c r="H8" s="5" t="n">
        <v>9879354.79</v>
      </c>
      <c r="I8" s="5" t="n">
        <v>8190207.78</v>
      </c>
      <c r="J8" s="5" t="n">
        <v>9180521.29</v>
      </c>
      <c r="K8" s="5" t="n">
        <v>9884197.62</v>
      </c>
      <c r="L8" s="5" t="n">
        <v>7863005.91</v>
      </c>
      <c r="M8" s="5" t="n">
        <v>8263668.63</v>
      </c>
      <c r="N8" s="5" t="n">
        <v>8901516.16</v>
      </c>
      <c r="O8" s="5" t="n">
        <v>8734691.79</v>
      </c>
      <c r="P8" s="5" t="n">
        <v>9176674.94</v>
      </c>
      <c r="Q8" s="5" t="n">
        <v>9881744.95</v>
      </c>
      <c r="R8" s="5" t="n">
        <v>9155554.86</v>
      </c>
      <c r="S8" s="5" t="n">
        <v>9622079.94</v>
      </c>
      <c r="T8" s="5" t="n">
        <v>7780816.5</v>
      </c>
      <c r="U8" s="5" t="n">
        <v>9508651.83</v>
      </c>
      <c r="V8" s="5" t="n">
        <v>9989798.01</v>
      </c>
      <c r="W8" s="5" t="n">
        <v>10757342.61</v>
      </c>
      <c r="X8" s="6" t="n">
        <f aca="false">SUM(B8:E8)</f>
        <v>40598337.41</v>
      </c>
      <c r="Y8" s="6" t="n">
        <f aca="false">SUM(F8:Q8)</f>
        <v>107858144.89</v>
      </c>
      <c r="Z8" s="6" t="n">
        <f aca="false">SUM(R8:W8)</f>
        <v>56814243.75</v>
      </c>
    </row>
    <row r="9" customFormat="false" ht="15" hidden="false" customHeight="false" outlineLevel="0" collapsed="false">
      <c r="A9" s="2" t="s">
        <v>30</v>
      </c>
      <c r="B9" s="6" t="n">
        <f aca="false">B7-B8</f>
        <v>8836534.02</v>
      </c>
      <c r="C9" s="6" t="n">
        <f aca="false">C7-C8</f>
        <v>7737140.72</v>
      </c>
      <c r="D9" s="6" t="n">
        <f aca="false">D7-D8</f>
        <v>8672671.96</v>
      </c>
      <c r="E9" s="6" t="n">
        <f aca="false">E7-E8</f>
        <v>9337422.2</v>
      </c>
      <c r="F9" s="6" t="n">
        <f aca="false">F7-F8</f>
        <v>7436354.23</v>
      </c>
      <c r="G9" s="6" t="n">
        <f aca="false">G7-G8</f>
        <v>7813975.54</v>
      </c>
      <c r="H9" s="6" t="n">
        <f aca="false">H7-H8</f>
        <v>8415746.67</v>
      </c>
      <c r="I9" s="6" t="n">
        <f aca="false">I7-I8</f>
        <v>6976843.67</v>
      </c>
      <c r="J9" s="6" t="n">
        <f aca="false">J7-J8</f>
        <v>7820444.07</v>
      </c>
      <c r="K9" s="6" t="n">
        <f aca="false">K7-K8</f>
        <v>8419872.05</v>
      </c>
      <c r="L9" s="6" t="n">
        <f aca="false">L7-L8</f>
        <v>6698116.15</v>
      </c>
      <c r="M9" s="6" t="n">
        <f aca="false">M7-M8</f>
        <v>7039421.43</v>
      </c>
      <c r="N9" s="6" t="n">
        <f aca="false">N7-N8</f>
        <v>7582773.02</v>
      </c>
      <c r="O9" s="6" t="n">
        <f aca="false">O7-O8</f>
        <v>7440663.38</v>
      </c>
      <c r="P9" s="6" t="n">
        <f aca="false">P7-P8</f>
        <v>7817167.54</v>
      </c>
      <c r="Q9" s="6" t="n">
        <f aca="false">Q7-Q8</f>
        <v>8417782.73</v>
      </c>
      <c r="R9" s="6" t="n">
        <f aca="false">R7-R8</f>
        <v>7799176.37</v>
      </c>
      <c r="S9" s="6" t="n">
        <f aca="false">S7-S8</f>
        <v>8196586.62</v>
      </c>
      <c r="T9" s="6" t="n">
        <f aca="false">T7-T8</f>
        <v>6281747.21</v>
      </c>
      <c r="U9" s="6" t="n">
        <f aca="false">U7-U8</f>
        <v>8099962.67</v>
      </c>
      <c r="V9" s="6" t="n">
        <f aca="false">V7-V8</f>
        <v>8509827.94</v>
      </c>
      <c r="W9" s="6" t="n">
        <f aca="false">W7-W8</f>
        <v>9163662.23</v>
      </c>
      <c r="X9" s="6" t="n">
        <f aca="false">SUM(B9:E9)</f>
        <v>34583768.9</v>
      </c>
      <c r="Y9" s="6" t="n">
        <f aca="false">SUM(F9:Q9)</f>
        <v>91879160.48</v>
      </c>
      <c r="Z9" s="6" t="n">
        <f aca="false">SUM(R9:W9)</f>
        <v>48050963.04</v>
      </c>
    </row>
    <row r="10" customFormat="false" ht="15" hidden="false" customHeight="false" outlineLevel="0" collapsed="false">
      <c r="A10" s="2" t="s">
        <v>31</v>
      </c>
      <c r="B10" s="5" t="n">
        <v>5820586.54</v>
      </c>
      <c r="C10" s="5" t="n">
        <v>5062781.21</v>
      </c>
      <c r="D10" s="5" t="n">
        <v>5825773.12</v>
      </c>
      <c r="E10" s="5" t="n">
        <v>6231714.38</v>
      </c>
      <c r="F10" s="5" t="n">
        <v>4962958.15</v>
      </c>
      <c r="G10" s="5" t="n">
        <v>5181005.52</v>
      </c>
      <c r="H10" s="5" t="n">
        <v>5543415.74</v>
      </c>
      <c r="I10" s="5" t="n">
        <v>4565282.49</v>
      </c>
      <c r="J10" s="5" t="n">
        <v>5253298.3</v>
      </c>
      <c r="K10" s="5" t="n">
        <v>5619349.39</v>
      </c>
      <c r="L10" s="5" t="n">
        <v>4441142.23</v>
      </c>
      <c r="M10" s="5" t="n">
        <v>4636836.29</v>
      </c>
      <c r="N10" s="5" t="n">
        <v>4961771.04</v>
      </c>
      <c r="O10" s="5" t="n">
        <v>4998184.75</v>
      </c>
      <c r="P10" s="5" t="n">
        <v>5217109.64</v>
      </c>
      <c r="Q10" s="5" t="n">
        <v>5581355.94</v>
      </c>
      <c r="R10" s="5" t="n">
        <v>5171193.03</v>
      </c>
      <c r="S10" s="5" t="n">
        <v>5399055.97</v>
      </c>
      <c r="T10" s="5" t="n">
        <v>3229895.6</v>
      </c>
      <c r="U10" s="5" t="n">
        <v>5441061.88</v>
      </c>
      <c r="V10" s="5" t="n">
        <v>5679385.17</v>
      </c>
      <c r="W10" s="5" t="n">
        <v>6075906.48</v>
      </c>
      <c r="X10" s="6" t="n">
        <f aca="false">SUM(B10:E10)</f>
        <v>22940855.25</v>
      </c>
      <c r="Y10" s="6" t="n">
        <f aca="false">SUM(F10:Q10)</f>
        <v>60961709.48</v>
      </c>
      <c r="Z10" s="6" t="n">
        <f aca="false">SUM(R10:W10)</f>
        <v>30996498.13</v>
      </c>
    </row>
    <row r="11" customFormat="false" ht="15" hidden="false" customHeight="false" outlineLevel="0" collapsed="false">
      <c r="A11" s="2" t="s">
        <v>32</v>
      </c>
      <c r="B11" s="6" t="n">
        <f aca="false">B9-B10</f>
        <v>3015947.48</v>
      </c>
      <c r="C11" s="6" t="n">
        <f aca="false">C9-C10</f>
        <v>2674359.51</v>
      </c>
      <c r="D11" s="6" t="n">
        <f aca="false">D9-D10</f>
        <v>2846898.84</v>
      </c>
      <c r="E11" s="6" t="n">
        <f aca="false">E9-E10</f>
        <v>3105707.82</v>
      </c>
      <c r="F11" s="6" t="n">
        <f aca="false">F9-F10</f>
        <v>2473396.08</v>
      </c>
      <c r="G11" s="6" t="n">
        <f aca="false">G9-G10</f>
        <v>2632970.02</v>
      </c>
      <c r="H11" s="6" t="n">
        <f aca="false">H9-H10</f>
        <v>2872330.93</v>
      </c>
      <c r="I11" s="6" t="n">
        <f aca="false">I9-I10</f>
        <v>2411561.18</v>
      </c>
      <c r="J11" s="6" t="n">
        <f aca="false">J9-J10</f>
        <v>2567145.77</v>
      </c>
      <c r="K11" s="6" t="n">
        <f aca="false">K9-K10</f>
        <v>2800522.66</v>
      </c>
      <c r="L11" s="6" t="n">
        <f aca="false">L9-L10</f>
        <v>2256973.92</v>
      </c>
      <c r="M11" s="6" t="n">
        <f aca="false">M9-M10</f>
        <v>2402585.14</v>
      </c>
      <c r="N11" s="6" t="n">
        <f aca="false">N9-N10</f>
        <v>2621001.98</v>
      </c>
      <c r="O11" s="6" t="n">
        <f aca="false">O9-O10</f>
        <v>2442478.63</v>
      </c>
      <c r="P11" s="6" t="n">
        <f aca="false">P9-P10</f>
        <v>2600057.9</v>
      </c>
      <c r="Q11" s="6" t="n">
        <f aca="false">Q9-Q10</f>
        <v>2836426.79</v>
      </c>
      <c r="R11" s="6" t="n">
        <f aca="false">R9-R10</f>
        <v>2627983.34</v>
      </c>
      <c r="S11" s="6" t="n">
        <f aca="false">S9-S10</f>
        <v>2797530.65</v>
      </c>
      <c r="T11" s="6" t="n">
        <f aca="false">T9-T10</f>
        <v>3051851.61</v>
      </c>
      <c r="U11" s="6" t="n">
        <f aca="false">U9-U10</f>
        <v>2658900.79</v>
      </c>
      <c r="V11" s="6" t="n">
        <f aca="false">V9-V10</f>
        <v>2830442.77</v>
      </c>
      <c r="W11" s="6" t="n">
        <f aca="false">W9-W10</f>
        <v>3087755.75</v>
      </c>
      <c r="X11" s="6" t="n">
        <f aca="false">SUM(B11:E11)</f>
        <v>11642913.65</v>
      </c>
      <c r="Y11" s="6" t="n">
        <f aca="false">SUM(F11:Q11)</f>
        <v>30917451</v>
      </c>
      <c r="Z11" s="6" t="n">
        <f aca="false">SUM(R11:W11)</f>
        <v>17054464.91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8"/>
    <col collapsed="false" customWidth="true" hidden="false" outlineLevel="0" max="26" min="2" style="0" width="15"/>
  </cols>
  <sheetData>
    <row r="1" customFormat="false" ht="15" hidden="false" customHeight="false" outlineLevel="0" collapsed="false">
      <c r="A1" s="1" t="s">
        <v>33</v>
      </c>
    </row>
    <row r="2" customFormat="false" ht="15" hidden="false" customHeight="false" outlineLevel="0" collapsed="false">
      <c r="A2" s="2" t="s">
        <v>34</v>
      </c>
    </row>
    <row r="6" customFormat="false" ht="15" hidden="false" customHeight="false" outlineLevel="0" collapsed="false">
      <c r="A6" s="3" t="s">
        <v>2</v>
      </c>
      <c r="B6" s="4" t="s">
        <v>3</v>
      </c>
      <c r="C6" s="4" t="s">
        <v>4</v>
      </c>
      <c r="D6" s="4" t="s">
        <v>5</v>
      </c>
      <c r="E6" s="4" t="s">
        <v>6</v>
      </c>
      <c r="F6" s="4" t="s">
        <v>7</v>
      </c>
      <c r="G6" s="4" t="s">
        <v>8</v>
      </c>
      <c r="H6" s="4" t="s">
        <v>9</v>
      </c>
      <c r="I6" s="4" t="s">
        <v>10</v>
      </c>
      <c r="J6" s="4" t="s">
        <v>11</v>
      </c>
      <c r="K6" s="4" t="s">
        <v>12</v>
      </c>
      <c r="L6" s="4" t="s">
        <v>13</v>
      </c>
      <c r="M6" s="4" t="s">
        <v>14</v>
      </c>
      <c r="N6" s="4" t="s">
        <v>15</v>
      </c>
      <c r="O6" s="4" t="s">
        <v>16</v>
      </c>
      <c r="P6" s="4" t="s">
        <v>17</v>
      </c>
      <c r="Q6" s="4" t="s">
        <v>18</v>
      </c>
      <c r="R6" s="4" t="s">
        <v>19</v>
      </c>
      <c r="S6" s="4" t="s">
        <v>20</v>
      </c>
      <c r="T6" s="4" t="s">
        <v>21</v>
      </c>
      <c r="U6" s="4" t="s">
        <v>22</v>
      </c>
      <c r="V6" s="4" t="s">
        <v>23</v>
      </c>
      <c r="W6" s="4" t="s">
        <v>24</v>
      </c>
      <c r="X6" s="3" t="s">
        <v>35</v>
      </c>
      <c r="Y6" s="3" t="s">
        <v>36</v>
      </c>
      <c r="Z6" s="3" t="s">
        <v>37</v>
      </c>
    </row>
    <row r="7" customFormat="false" ht="15" hidden="false" customHeight="false" outlineLevel="0" collapsed="false">
      <c r="A7" s="2" t="s">
        <v>38</v>
      </c>
      <c r="B7" s="5" t="n">
        <v>9566562.26</v>
      </c>
      <c r="C7" s="5" t="n">
        <v>9629465.29</v>
      </c>
      <c r="D7" s="5" t="n">
        <v>9669412.92</v>
      </c>
      <c r="E7" s="5" t="n">
        <v>9712376.33</v>
      </c>
      <c r="F7" s="5" t="n">
        <v>9992464.91</v>
      </c>
      <c r="G7" s="5" t="n">
        <v>10051903.17</v>
      </c>
      <c r="H7" s="5" t="n">
        <v>9998329.8</v>
      </c>
      <c r="I7" s="5" t="n">
        <v>10047591.29</v>
      </c>
      <c r="J7" s="5" t="n">
        <v>10122568.36</v>
      </c>
      <c r="K7" s="5" t="n">
        <v>10063231.36</v>
      </c>
      <c r="L7" s="5" t="n">
        <v>10140761.15</v>
      </c>
      <c r="M7" s="5" t="n">
        <v>10184294.59</v>
      </c>
      <c r="N7" s="5" t="n">
        <v>10128132.93</v>
      </c>
      <c r="O7" s="5" t="n">
        <v>10204870.67</v>
      </c>
      <c r="P7" s="5" t="n">
        <v>10230603.63</v>
      </c>
      <c r="Q7" s="5" t="n">
        <v>10193034.49</v>
      </c>
      <c r="R7" s="5" t="n">
        <v>10211821.45</v>
      </c>
      <c r="S7" s="5" t="n">
        <v>10287327.63</v>
      </c>
      <c r="T7" s="5" t="n">
        <v>10257936.06</v>
      </c>
      <c r="U7" s="5" t="n">
        <v>10311450.07</v>
      </c>
      <c r="V7" s="5" t="n">
        <v>10316981.15</v>
      </c>
      <c r="W7" s="5" t="n">
        <v>10322837.62</v>
      </c>
      <c r="X7" s="6" t="n">
        <f aca="false">E7</f>
        <v>9712376.33</v>
      </c>
      <c r="Y7" s="6" t="n">
        <f aca="false">Q7</f>
        <v>10193034.49</v>
      </c>
      <c r="Z7" s="6" t="n">
        <f aca="false">W7</f>
        <v>10322837.62</v>
      </c>
    </row>
    <row r="8" customFormat="false" ht="15" hidden="false" customHeight="false" outlineLevel="0" collapsed="false">
      <c r="A8" s="2" t="s">
        <v>39</v>
      </c>
      <c r="B8" s="5" t="n">
        <v>25357010.66</v>
      </c>
      <c r="C8" s="5" t="n">
        <v>22622726.67</v>
      </c>
      <c r="D8" s="5" t="n">
        <v>23944116.07</v>
      </c>
      <c r="E8" s="5" t="n">
        <v>26286873.38</v>
      </c>
      <c r="F8" s="5" t="n">
        <v>21339103.43</v>
      </c>
      <c r="G8" s="5" t="n">
        <v>22847385.01</v>
      </c>
      <c r="H8" s="5" t="n">
        <v>23234778.85</v>
      </c>
      <c r="I8" s="5" t="n">
        <v>19641331.63</v>
      </c>
      <c r="J8" s="5" t="n">
        <v>22441274.28</v>
      </c>
      <c r="K8" s="5" t="n">
        <v>24618973.71</v>
      </c>
      <c r="L8" s="5" t="n">
        <v>18492625.02</v>
      </c>
      <c r="M8" s="5" t="n">
        <v>19817501.63</v>
      </c>
      <c r="N8" s="5" t="n">
        <v>21759261.72</v>
      </c>
      <c r="O8" s="5" t="n">
        <v>21755852.7</v>
      </c>
      <c r="P8" s="5" t="n">
        <v>21582179.95</v>
      </c>
      <c r="Q8" s="5" t="n">
        <v>23697888.35</v>
      </c>
      <c r="R8" s="5" t="n">
        <v>22380245.22</v>
      </c>
      <c r="S8" s="5" t="n">
        <v>23966106.52</v>
      </c>
      <c r="T8" s="5" t="n">
        <v>17234374.95</v>
      </c>
      <c r="U8" s="5" t="n">
        <v>22803155.78</v>
      </c>
      <c r="V8" s="5" t="n">
        <v>24419506.25</v>
      </c>
      <c r="W8" s="5" t="n">
        <v>26793751.51</v>
      </c>
      <c r="X8" s="6" t="n">
        <f aca="false">E8</f>
        <v>26286873.38</v>
      </c>
      <c r="Y8" s="6" t="n">
        <f aca="false">Q8</f>
        <v>23697888.35</v>
      </c>
      <c r="Z8" s="6" t="n">
        <f aca="false">W8</f>
        <v>26793751.51</v>
      </c>
    </row>
    <row r="9" customFormat="false" ht="15" hidden="false" customHeight="false" outlineLevel="0" collapsed="false">
      <c r="A9" s="2" t="s">
        <v>40</v>
      </c>
      <c r="B9" s="5" t="n">
        <v>5000000</v>
      </c>
      <c r="C9" s="5" t="n">
        <v>5000000</v>
      </c>
      <c r="D9" s="5" t="n">
        <v>5000000</v>
      </c>
      <c r="E9" s="5" t="n">
        <v>5000000</v>
      </c>
      <c r="F9" s="5" t="n">
        <v>5000000</v>
      </c>
      <c r="G9" s="5" t="n">
        <v>5000000</v>
      </c>
      <c r="H9" s="5" t="n">
        <v>5000000</v>
      </c>
      <c r="I9" s="5" t="n">
        <v>5000000</v>
      </c>
      <c r="J9" s="5" t="n">
        <v>5000000</v>
      </c>
      <c r="K9" s="5" t="n">
        <v>5000000</v>
      </c>
      <c r="L9" s="5" t="n">
        <v>5000000</v>
      </c>
      <c r="M9" s="5" t="n">
        <v>5000000</v>
      </c>
      <c r="N9" s="5" t="n">
        <v>5000000</v>
      </c>
      <c r="O9" s="5" t="n">
        <v>5000000</v>
      </c>
      <c r="P9" s="5" t="n">
        <v>5000000</v>
      </c>
      <c r="Q9" s="5" t="n">
        <v>5000000</v>
      </c>
      <c r="R9" s="5" t="n">
        <v>5000000</v>
      </c>
      <c r="S9" s="5" t="n">
        <v>5000000</v>
      </c>
      <c r="T9" s="5" t="n">
        <v>5492189.73</v>
      </c>
      <c r="U9" s="5" t="n">
        <v>5492189.73</v>
      </c>
      <c r="V9" s="5" t="n">
        <v>5492189.73</v>
      </c>
      <c r="W9" s="5" t="n">
        <v>5492189.73</v>
      </c>
      <c r="X9" s="6" t="n">
        <f aca="false">E9</f>
        <v>5000000</v>
      </c>
      <c r="Y9" s="6" t="n">
        <f aca="false">Q9</f>
        <v>5000000</v>
      </c>
      <c r="Z9" s="6" t="n">
        <f aca="false">W9</f>
        <v>5492189.73</v>
      </c>
    </row>
    <row r="10" customFormat="false" ht="15" hidden="false" customHeight="false" outlineLevel="0" collapsed="false">
      <c r="A10" s="2" t="s">
        <v>41</v>
      </c>
      <c r="B10" s="5" t="n">
        <v>10373322.54</v>
      </c>
      <c r="C10" s="5" t="n">
        <v>9385488.09</v>
      </c>
      <c r="D10" s="5" t="n">
        <v>10859693.59</v>
      </c>
      <c r="E10" s="5" t="n">
        <v>10961321.72</v>
      </c>
      <c r="F10" s="5" t="n">
        <v>9020621</v>
      </c>
      <c r="G10" s="5" t="n">
        <v>9784456.33</v>
      </c>
      <c r="H10" s="5" t="n">
        <v>9879354.79</v>
      </c>
      <c r="I10" s="5" t="n">
        <v>8463214.71</v>
      </c>
      <c r="J10" s="5" t="n">
        <v>9792556.05</v>
      </c>
      <c r="K10" s="5" t="n">
        <v>9884197.62</v>
      </c>
      <c r="L10" s="5" t="n">
        <v>8125106.11</v>
      </c>
      <c r="M10" s="5" t="n">
        <v>8814579.87</v>
      </c>
      <c r="N10" s="5" t="n">
        <v>8901516.16</v>
      </c>
      <c r="O10" s="5" t="n">
        <v>9025848.18</v>
      </c>
      <c r="P10" s="5" t="n">
        <v>9788453.27</v>
      </c>
      <c r="Q10" s="5" t="n">
        <v>9881744.95</v>
      </c>
      <c r="R10" s="5" t="n">
        <v>9460740.03</v>
      </c>
      <c r="S10" s="5" t="n">
        <v>10263551.94</v>
      </c>
      <c r="T10" s="5" t="n">
        <v>7328001.95</v>
      </c>
      <c r="U10" s="5" t="n">
        <v>9825606.89</v>
      </c>
      <c r="V10" s="5" t="n">
        <v>10655784.55</v>
      </c>
      <c r="W10" s="5" t="n">
        <v>10757342.61</v>
      </c>
      <c r="X10" s="6" t="n">
        <f aca="false">E10</f>
        <v>10961321.72</v>
      </c>
      <c r="Y10" s="6" t="n">
        <f aca="false">Q10</f>
        <v>9881744.95</v>
      </c>
      <c r="Z10" s="6" t="n">
        <f aca="false">W10</f>
        <v>10757342.61</v>
      </c>
    </row>
    <row r="11" customFormat="false" ht="15" hidden="false" customHeight="false" outlineLevel="0" collapsed="false">
      <c r="A11" s="2" t="s">
        <v>42</v>
      </c>
      <c r="B11" s="5" t="n">
        <v>2000000</v>
      </c>
      <c r="C11" s="5" t="n">
        <v>2000000</v>
      </c>
      <c r="D11" s="5" t="n">
        <v>2000000</v>
      </c>
      <c r="E11" s="5" t="n">
        <v>2000000</v>
      </c>
      <c r="F11" s="5" t="n">
        <v>2000000</v>
      </c>
      <c r="G11" s="5" t="n">
        <v>2000000</v>
      </c>
      <c r="H11" s="5" t="n">
        <v>2000000</v>
      </c>
      <c r="I11" s="5" t="n">
        <v>2000000</v>
      </c>
      <c r="J11" s="5" t="n">
        <v>2000000</v>
      </c>
      <c r="K11" s="5" t="n">
        <v>2000000</v>
      </c>
      <c r="L11" s="5" t="n">
        <v>2000000</v>
      </c>
      <c r="M11" s="5" t="n">
        <v>2000000</v>
      </c>
      <c r="N11" s="5" t="n">
        <v>2000000</v>
      </c>
      <c r="O11" s="5" t="n">
        <v>2000000</v>
      </c>
      <c r="P11" s="5" t="n">
        <v>2000000</v>
      </c>
      <c r="Q11" s="5" t="n">
        <v>2000000</v>
      </c>
      <c r="R11" s="5" t="n">
        <v>2000000</v>
      </c>
      <c r="S11" s="5" t="n">
        <v>2000000</v>
      </c>
      <c r="T11" s="5" t="n">
        <v>2452814.55</v>
      </c>
      <c r="U11" s="5" t="n">
        <v>2452814.55</v>
      </c>
      <c r="V11" s="5" t="n">
        <v>2452814.55</v>
      </c>
      <c r="W11" s="5" t="n">
        <v>2452814.55</v>
      </c>
      <c r="X11" s="6" t="n">
        <f aca="false">E11</f>
        <v>2000000</v>
      </c>
      <c r="Y11" s="6" t="n">
        <f aca="false">Q11</f>
        <v>2000000</v>
      </c>
      <c r="Z11" s="6" t="n">
        <f aca="false">W11</f>
        <v>2452814.55</v>
      </c>
    </row>
    <row r="12" customFormat="false" ht="15" hidden="false" customHeight="false" outlineLevel="0" collapsed="false">
      <c r="A12" s="2" t="s">
        <v>43</v>
      </c>
      <c r="B12" s="5" t="n">
        <v>181000000</v>
      </c>
      <c r="C12" s="5" t="n">
        <v>180416666.67</v>
      </c>
      <c r="D12" s="5" t="n">
        <v>179833333.33</v>
      </c>
      <c r="E12" s="5" t="n">
        <v>179250000</v>
      </c>
      <c r="F12" s="5" t="n">
        <v>186151280.31</v>
      </c>
      <c r="G12" s="5" t="n">
        <v>185034372.63</v>
      </c>
      <c r="H12" s="5" t="n">
        <v>183924166.39</v>
      </c>
      <c r="I12" s="5" t="n">
        <v>182820621.39</v>
      </c>
      <c r="J12" s="5" t="n">
        <v>181723697.66</v>
      </c>
      <c r="K12" s="5" t="n">
        <v>180633355.47</v>
      </c>
      <c r="L12" s="5" t="n">
        <v>179549555.34</v>
      </c>
      <c r="M12" s="5" t="n">
        <v>178472258.01</v>
      </c>
      <c r="N12" s="5" t="n">
        <v>177401424.46</v>
      </c>
      <c r="O12" s="5" t="n">
        <v>176337015.91</v>
      </c>
      <c r="P12" s="5" t="n">
        <v>175278993.81</v>
      </c>
      <c r="Q12" s="5" t="n">
        <v>174227319.85</v>
      </c>
      <c r="R12" s="5" t="n">
        <v>173181955.93</v>
      </c>
      <c r="S12" s="5" t="n">
        <v>172142864.19</v>
      </c>
      <c r="T12" s="5" t="n">
        <v>171110007</v>
      </c>
      <c r="U12" s="5" t="n">
        <v>170083346.96</v>
      </c>
      <c r="V12" s="5" t="n">
        <v>169062846.88</v>
      </c>
      <c r="W12" s="5" t="n">
        <v>168048469.8</v>
      </c>
      <c r="X12" s="6" t="n">
        <f aca="false">E12</f>
        <v>179250000</v>
      </c>
      <c r="Y12" s="6" t="n">
        <f aca="false">Q12</f>
        <v>174227319.85</v>
      </c>
      <c r="Z12" s="6" t="n">
        <f aca="false">W12</f>
        <v>168048469.8</v>
      </c>
    </row>
    <row r="13" customFormat="false" ht="15" hidden="false" customHeight="false" outlineLevel="0" collapsed="false">
      <c r="A13" s="2" t="s">
        <v>44</v>
      </c>
      <c r="B13" s="5" t="n">
        <v>0</v>
      </c>
      <c r="C13" s="5" t="n">
        <v>0</v>
      </c>
      <c r="D13" s="5" t="n">
        <v>0</v>
      </c>
      <c r="E13" s="5" t="n">
        <v>0</v>
      </c>
      <c r="F13" s="5" t="n">
        <v>0</v>
      </c>
      <c r="G13" s="5" t="n">
        <v>0</v>
      </c>
      <c r="H13" s="5" t="n">
        <v>0</v>
      </c>
      <c r="I13" s="5" t="n">
        <v>0</v>
      </c>
      <c r="J13" s="5" t="n">
        <v>0</v>
      </c>
      <c r="K13" s="5" t="n">
        <v>0</v>
      </c>
      <c r="L13" s="5" t="n">
        <v>0</v>
      </c>
      <c r="M13" s="5" t="n">
        <v>0</v>
      </c>
      <c r="N13" s="5" t="n">
        <v>0</v>
      </c>
      <c r="O13" s="5" t="n">
        <v>0</v>
      </c>
      <c r="P13" s="5" t="n">
        <v>0</v>
      </c>
      <c r="Q13" s="5" t="n">
        <v>0</v>
      </c>
      <c r="R13" s="5" t="n">
        <v>0</v>
      </c>
      <c r="S13" s="5" t="n">
        <v>0</v>
      </c>
      <c r="T13" s="5" t="n">
        <v>39375.18</v>
      </c>
      <c r="U13" s="5" t="n">
        <v>39375.18</v>
      </c>
      <c r="V13" s="5" t="n">
        <v>39375.18</v>
      </c>
      <c r="W13" s="5" t="n">
        <v>39375.18</v>
      </c>
      <c r="X13" s="6" t="n">
        <f aca="false">E13</f>
        <v>0</v>
      </c>
      <c r="Y13" s="6" t="n">
        <f aca="false">Q13</f>
        <v>0</v>
      </c>
      <c r="Z13" s="6" t="n">
        <f aca="false">W13</f>
        <v>39375.18</v>
      </c>
    </row>
    <row r="15" customFormat="false" ht="15" hidden="false" customHeight="false" outlineLevel="0" collapsed="false">
      <c r="A15" s="2" t="s">
        <v>45</v>
      </c>
      <c r="B15" s="6" t="n">
        <f aca="false">B12-B7</f>
        <v>171433437.74</v>
      </c>
      <c r="C15" s="6" t="n">
        <f aca="false">C12-C7</f>
        <v>170787201.38</v>
      </c>
      <c r="D15" s="6" t="n">
        <f aca="false">D12-D7</f>
        <v>170163920.41</v>
      </c>
      <c r="E15" s="6" t="n">
        <f aca="false">E12-E7</f>
        <v>169537623.67</v>
      </c>
      <c r="F15" s="6" t="n">
        <f aca="false">F12-F7</f>
        <v>176158815.4</v>
      </c>
      <c r="G15" s="6" t="n">
        <f aca="false">G12-G7</f>
        <v>174982469.46</v>
      </c>
      <c r="H15" s="6" t="n">
        <f aca="false">H12-H7</f>
        <v>173925836.59</v>
      </c>
      <c r="I15" s="6" t="n">
        <f aca="false">I12-I7</f>
        <v>172773030.1</v>
      </c>
      <c r="J15" s="6" t="n">
        <f aca="false">J12-J7</f>
        <v>171601129.3</v>
      </c>
      <c r="K15" s="6" t="n">
        <f aca="false">K12-K7</f>
        <v>170570124.11</v>
      </c>
      <c r="L15" s="6" t="n">
        <f aca="false">L12-L7</f>
        <v>169408794.19</v>
      </c>
      <c r="M15" s="6" t="n">
        <f aca="false">M12-M7</f>
        <v>168287963.42</v>
      </c>
      <c r="N15" s="6" t="n">
        <f aca="false">N12-N7</f>
        <v>167273291.53</v>
      </c>
      <c r="O15" s="6" t="n">
        <f aca="false">O12-O7</f>
        <v>166132145.24</v>
      </c>
      <c r="P15" s="6" t="n">
        <f aca="false">P12-P7</f>
        <v>165048390.18</v>
      </c>
      <c r="Q15" s="6" t="n">
        <f aca="false">Q12-Q7</f>
        <v>164034285.36</v>
      </c>
      <c r="R15" s="6" t="n">
        <f aca="false">R12-R7</f>
        <v>162970134.48</v>
      </c>
      <c r="S15" s="6" t="n">
        <f aca="false">S12-S7</f>
        <v>161855536.56</v>
      </c>
      <c r="T15" s="6" t="n">
        <f aca="false">T12-T7</f>
        <v>160852070.94</v>
      </c>
      <c r="U15" s="6" t="n">
        <f aca="false">U12-U7</f>
        <v>159771896.89</v>
      </c>
      <c r="V15" s="6" t="n">
        <f aca="false">V12-V7</f>
        <v>158745865.73</v>
      </c>
      <c r="W15" s="6" t="n">
        <f aca="false">W12-W7</f>
        <v>157725632.18</v>
      </c>
      <c r="X15" s="6" t="n">
        <f aca="false">E15</f>
        <v>169537623.67</v>
      </c>
      <c r="Y15" s="6" t="n">
        <f aca="false">Q15</f>
        <v>164034285.36</v>
      </c>
      <c r="Z15" s="6" t="n">
        <f aca="false">W15</f>
        <v>157725632.18</v>
      </c>
    </row>
    <row r="17" customFormat="false" ht="15" hidden="false" customHeight="false" outlineLevel="0" collapsed="false">
      <c r="A17" s="2" t="s">
        <v>46</v>
      </c>
    </row>
    <row r="18" customFormat="false" ht="15" hidden="false" customHeight="false" outlineLevel="0" collapsed="false">
      <c r="A18" s="2" t="s">
        <v>47</v>
      </c>
      <c r="B18" s="5" t="n">
        <v>181583333.33</v>
      </c>
      <c r="C18" s="5" t="n">
        <v>181000000</v>
      </c>
      <c r="D18" s="5" t="n">
        <v>180416666.67</v>
      </c>
      <c r="E18" s="5" t="n">
        <v>179833333.33</v>
      </c>
      <c r="F18" s="5" t="n">
        <v>179250000</v>
      </c>
      <c r="G18" s="5" t="n">
        <v>186151280.31</v>
      </c>
      <c r="H18" s="5" t="n">
        <v>185034372.63</v>
      </c>
      <c r="I18" s="5" t="n">
        <v>183924166.39</v>
      </c>
      <c r="J18" s="5" t="n">
        <v>182820621.39</v>
      </c>
      <c r="K18" s="5" t="n">
        <v>181723697.66</v>
      </c>
      <c r="L18" s="5" t="n">
        <v>180633355.47</v>
      </c>
      <c r="M18" s="5" t="n">
        <v>179549555.34</v>
      </c>
      <c r="N18" s="5" t="n">
        <v>178472258.01</v>
      </c>
      <c r="O18" s="5" t="n">
        <v>177401424.46</v>
      </c>
      <c r="P18" s="5" t="n">
        <v>176337015.91</v>
      </c>
      <c r="Q18" s="5" t="n">
        <v>175278993.81</v>
      </c>
      <c r="R18" s="5" t="n">
        <v>174227319.85</v>
      </c>
      <c r="S18" s="5" t="n">
        <v>173181955.93</v>
      </c>
      <c r="T18" s="5" t="n">
        <v>172142864.19</v>
      </c>
      <c r="U18" s="5" t="n">
        <v>171110007</v>
      </c>
      <c r="V18" s="5" t="n">
        <v>170083346.96</v>
      </c>
      <c r="W18" s="5" t="n">
        <v>169062846.88</v>
      </c>
      <c r="X18" s="6" t="n">
        <f aca="false">B18</f>
        <v>181583333.33</v>
      </c>
      <c r="Y18" s="6" t="n">
        <f aca="false">F18</f>
        <v>179250000</v>
      </c>
      <c r="Z18" s="6" t="n">
        <f aca="false">R18</f>
        <v>174227319.85</v>
      </c>
    </row>
    <row r="19" customFormat="false" ht="15" hidden="false" customHeight="false" outlineLevel="0" collapsed="false">
      <c r="A19" s="2" t="s">
        <v>48</v>
      </c>
      <c r="B19" s="5" t="n">
        <v>0</v>
      </c>
      <c r="C19" s="5" t="n">
        <v>0</v>
      </c>
      <c r="D19" s="5" t="n">
        <v>0</v>
      </c>
      <c r="E19" s="5" t="n">
        <v>0</v>
      </c>
      <c r="F19" s="5" t="n">
        <v>179250000</v>
      </c>
      <c r="G19" s="5" t="n">
        <v>0</v>
      </c>
      <c r="H19" s="5" t="n">
        <v>0</v>
      </c>
      <c r="I19" s="5" t="n">
        <v>0</v>
      </c>
      <c r="J19" s="5" t="n">
        <v>0</v>
      </c>
      <c r="K19" s="5" t="n">
        <v>0</v>
      </c>
      <c r="L19" s="5" t="n">
        <v>0</v>
      </c>
      <c r="M19" s="5" t="n">
        <v>0</v>
      </c>
      <c r="N19" s="5" t="n">
        <v>0</v>
      </c>
      <c r="O19" s="5" t="n">
        <v>0</v>
      </c>
      <c r="P19" s="5" t="n">
        <v>0</v>
      </c>
      <c r="Q19" s="5" t="n">
        <v>0</v>
      </c>
      <c r="R19" s="5" t="n">
        <v>0</v>
      </c>
      <c r="S19" s="5" t="n">
        <v>0</v>
      </c>
      <c r="T19" s="5" t="n">
        <v>0</v>
      </c>
      <c r="U19" s="5" t="n">
        <v>0</v>
      </c>
      <c r="V19" s="5" t="n">
        <v>0</v>
      </c>
      <c r="W19" s="5" t="n">
        <v>0</v>
      </c>
      <c r="X19" s="6" t="n">
        <f aca="false">SUM(B19:E19)</f>
        <v>0</v>
      </c>
      <c r="Y19" s="6" t="n">
        <f aca="false">SUM(F19:Q19)</f>
        <v>179250000</v>
      </c>
      <c r="Z19" s="6" t="n">
        <f aca="false">SUM(R19:W19)</f>
        <v>0</v>
      </c>
    </row>
    <row r="20" customFormat="false" ht="15" hidden="false" customHeight="false" outlineLevel="0" collapsed="false">
      <c r="A20" s="2" t="s">
        <v>49</v>
      </c>
      <c r="B20" s="5" t="n">
        <v>0</v>
      </c>
      <c r="C20" s="5" t="n">
        <v>0</v>
      </c>
      <c r="D20" s="5" t="n">
        <v>0</v>
      </c>
      <c r="E20" s="5" t="n">
        <v>0</v>
      </c>
      <c r="F20" s="5" t="n">
        <v>187274929.89</v>
      </c>
      <c r="G20" s="5" t="n">
        <v>0</v>
      </c>
      <c r="H20" s="5" t="n">
        <v>0</v>
      </c>
      <c r="I20" s="5" t="n">
        <v>0</v>
      </c>
      <c r="J20" s="5" t="n">
        <v>0</v>
      </c>
      <c r="K20" s="5" t="n">
        <v>0</v>
      </c>
      <c r="L20" s="5" t="n">
        <v>0</v>
      </c>
      <c r="M20" s="5" t="n">
        <v>0</v>
      </c>
      <c r="N20" s="5" t="n">
        <v>0</v>
      </c>
      <c r="O20" s="5" t="n">
        <v>0</v>
      </c>
      <c r="P20" s="5" t="n">
        <v>0</v>
      </c>
      <c r="Q20" s="5" t="n">
        <v>0</v>
      </c>
      <c r="R20" s="5" t="n">
        <v>0</v>
      </c>
      <c r="S20" s="5" t="n">
        <v>0</v>
      </c>
      <c r="T20" s="5" t="n">
        <v>0</v>
      </c>
      <c r="U20" s="5" t="n">
        <v>0</v>
      </c>
      <c r="V20" s="5" t="n">
        <v>0</v>
      </c>
      <c r="W20" s="5" t="n">
        <v>0</v>
      </c>
      <c r="X20" s="6" t="n">
        <f aca="false">SUM(B20:E20)</f>
        <v>0</v>
      </c>
      <c r="Y20" s="6" t="n">
        <f aca="false">SUM(F20:Q20)</f>
        <v>187274929.89</v>
      </c>
      <c r="Z20" s="6" t="n">
        <f aca="false">SUM(R20:W20)</f>
        <v>0</v>
      </c>
    </row>
    <row r="21" customFormat="false" ht="15" hidden="false" customHeight="false" outlineLevel="0" collapsed="false">
      <c r="A21" s="2" t="s">
        <v>50</v>
      </c>
      <c r="B21" s="5" t="n">
        <v>583333.33</v>
      </c>
      <c r="C21" s="5" t="n">
        <v>583333.33</v>
      </c>
      <c r="D21" s="5" t="n">
        <v>583333.34</v>
      </c>
      <c r="E21" s="5" t="n">
        <v>583333.33</v>
      </c>
      <c r="F21" s="5" t="n">
        <v>1123649.58</v>
      </c>
      <c r="G21" s="5" t="n">
        <v>1116907.68</v>
      </c>
      <c r="H21" s="5" t="n">
        <v>1110206.24</v>
      </c>
      <c r="I21" s="5" t="n">
        <v>1103545</v>
      </c>
      <c r="J21" s="5" t="n">
        <v>1096923.73</v>
      </c>
      <c r="K21" s="5" t="n">
        <v>1090342.19</v>
      </c>
      <c r="L21" s="5" t="n">
        <v>1083800.13</v>
      </c>
      <c r="M21" s="5" t="n">
        <v>1077297.33</v>
      </c>
      <c r="N21" s="5" t="n">
        <v>1070833.55</v>
      </c>
      <c r="O21" s="5" t="n">
        <v>1064408.55</v>
      </c>
      <c r="P21" s="5" t="n">
        <v>1058022.1</v>
      </c>
      <c r="Q21" s="5" t="n">
        <v>1051673.96</v>
      </c>
      <c r="R21" s="5" t="n">
        <v>1045363.92</v>
      </c>
      <c r="S21" s="5" t="n">
        <v>1039091.74</v>
      </c>
      <c r="T21" s="5" t="n">
        <v>1032857.19</v>
      </c>
      <c r="U21" s="5" t="n">
        <v>1026660.04</v>
      </c>
      <c r="V21" s="5" t="n">
        <v>1020500.08</v>
      </c>
      <c r="W21" s="5" t="n">
        <v>1014377.08</v>
      </c>
      <c r="X21" s="6" t="n">
        <f aca="false">SUM(B21:E21)</f>
        <v>2333333.33</v>
      </c>
      <c r="Y21" s="6" t="n">
        <f aca="false">SUM(F21:Q21)</f>
        <v>13047610.04</v>
      </c>
      <c r="Z21" s="6" t="n">
        <f aca="false">SUM(R21:W21)</f>
        <v>6178850.05</v>
      </c>
    </row>
    <row r="22" customFormat="false" ht="15" hidden="false" customHeight="false" outlineLevel="0" collapsed="false">
      <c r="A22" s="2" t="s">
        <v>51</v>
      </c>
      <c r="B22" s="6" t="n">
        <f aca="false">B18-B19+B20-B21</f>
        <v>181000000</v>
      </c>
      <c r="C22" s="6" t="n">
        <f aca="false">C18-C19+C20-C21</f>
        <v>180416666.67</v>
      </c>
      <c r="D22" s="6" t="n">
        <f aca="false">D18-D19+D20-D21</f>
        <v>179833333.33</v>
      </c>
      <c r="E22" s="6" t="n">
        <f aca="false">E18-E19+E20-E21</f>
        <v>179250000</v>
      </c>
      <c r="F22" s="6" t="n">
        <f aca="false">F18-F19+F20-F21</f>
        <v>186151280.31</v>
      </c>
      <c r="G22" s="6" t="n">
        <f aca="false">G18-G19+G20-G21</f>
        <v>185034372.63</v>
      </c>
      <c r="H22" s="6" t="n">
        <f aca="false">H18-H19+H20-H21</f>
        <v>183924166.39</v>
      </c>
      <c r="I22" s="6" t="n">
        <f aca="false">I18-I19+I20-I21</f>
        <v>182820621.39</v>
      </c>
      <c r="J22" s="6" t="n">
        <f aca="false">J18-J19+J20-J21</f>
        <v>181723697.66</v>
      </c>
      <c r="K22" s="6" t="n">
        <f aca="false">K18-K19+K20-K21</f>
        <v>180633355.47</v>
      </c>
      <c r="L22" s="6" t="n">
        <f aca="false">L18-L19+L20-L21</f>
        <v>179549555.34</v>
      </c>
      <c r="M22" s="6" t="n">
        <f aca="false">M18-M19+M20-M21</f>
        <v>178472258.01</v>
      </c>
      <c r="N22" s="6" t="n">
        <f aca="false">N18-N19+N20-N21</f>
        <v>177401424.46</v>
      </c>
      <c r="O22" s="6" t="n">
        <f aca="false">O18-O19+O20-O21</f>
        <v>176337015.91</v>
      </c>
      <c r="P22" s="6" t="n">
        <f aca="false">P18-P19+P20-P21</f>
        <v>175278993.81</v>
      </c>
      <c r="Q22" s="6" t="n">
        <f aca="false">Q18-Q19+Q20-Q21</f>
        <v>174227319.85</v>
      </c>
      <c r="R22" s="6" t="n">
        <f aca="false">R18-R19+R20-R21</f>
        <v>173181955.93</v>
      </c>
      <c r="S22" s="6" t="n">
        <f aca="false">S18-S19+S20-S21</f>
        <v>172142864.19</v>
      </c>
      <c r="T22" s="6" t="n">
        <f aca="false">T18-T19+T20-T21</f>
        <v>171110007</v>
      </c>
      <c r="U22" s="6" t="n">
        <f aca="false">U18-U19+U20-U21</f>
        <v>170083346.96</v>
      </c>
      <c r="V22" s="6" t="n">
        <f aca="false">V18-V19+V20-V21</f>
        <v>169062846.88</v>
      </c>
      <c r="W22" s="6" t="n">
        <f aca="false">W18-W19+W20-W21</f>
        <v>168048469.8</v>
      </c>
      <c r="X22" s="6" t="n">
        <f aca="false">E22</f>
        <v>179250000</v>
      </c>
      <c r="Y22" s="6" t="n">
        <f aca="false">Q22</f>
        <v>174227319.85</v>
      </c>
      <c r="Z22" s="6" t="n">
        <f aca="false">W22</f>
        <v>168048469.8</v>
      </c>
    </row>
    <row r="23" customFormat="false" ht="15" hidden="false" customHeight="false" outlineLevel="0" collapsed="false">
      <c r="A23" s="2" t="s">
        <v>52</v>
      </c>
      <c r="B23" s="5" t="n">
        <v>0</v>
      </c>
      <c r="C23" s="5" t="n">
        <v>0</v>
      </c>
      <c r="D23" s="5" t="n">
        <v>0</v>
      </c>
      <c r="E23" s="5" t="n">
        <v>0</v>
      </c>
      <c r="F23" s="5" t="n">
        <v>0</v>
      </c>
      <c r="G23" s="5" t="n">
        <v>0</v>
      </c>
      <c r="H23" s="5" t="n">
        <v>0</v>
      </c>
      <c r="I23" s="5" t="n">
        <v>0</v>
      </c>
      <c r="J23" s="5" t="n">
        <v>0</v>
      </c>
      <c r="K23" s="5" t="n">
        <v>0</v>
      </c>
      <c r="L23" s="5" t="n">
        <v>0</v>
      </c>
      <c r="M23" s="5" t="n">
        <v>0</v>
      </c>
      <c r="N23" s="5" t="n">
        <v>0</v>
      </c>
      <c r="O23" s="5" t="n">
        <v>0</v>
      </c>
      <c r="P23" s="5" t="n">
        <v>0</v>
      </c>
      <c r="Q23" s="5" t="n">
        <v>0</v>
      </c>
      <c r="R23" s="5" t="n">
        <v>0</v>
      </c>
      <c r="S23" s="5" t="n">
        <v>0</v>
      </c>
      <c r="T23" s="5" t="n">
        <v>0</v>
      </c>
      <c r="U23" s="5" t="n">
        <v>0</v>
      </c>
      <c r="V23" s="5" t="n">
        <v>0</v>
      </c>
      <c r="W23" s="5" t="n">
        <v>0</v>
      </c>
      <c r="X23" s="6" t="n">
        <f aca="false">SUM(B23:E23)</f>
        <v>0</v>
      </c>
      <c r="Y23" s="6" t="n">
        <f aca="false">SUM(F23:Q23)</f>
        <v>0</v>
      </c>
      <c r="Z23" s="6" t="n">
        <f aca="false">SUM(R23:W23)</f>
        <v>0</v>
      </c>
    </row>
    <row r="25" customFormat="false" ht="15" hidden="false" customHeight="false" outlineLevel="0" collapsed="false">
      <c r="A25" s="2" t="s">
        <v>53</v>
      </c>
      <c r="B25" s="6" t="n">
        <f aca="false">B12-B22</f>
        <v>0</v>
      </c>
      <c r="C25" s="6" t="n">
        <f aca="false">C12-C22</f>
        <v>0</v>
      </c>
      <c r="D25" s="6" t="n">
        <f aca="false">D12-D22</f>
        <v>0</v>
      </c>
      <c r="E25" s="6" t="n">
        <f aca="false">E12-E22</f>
        <v>0</v>
      </c>
      <c r="F25" s="6" t="n">
        <f aca="false">F12-F22</f>
        <v>0</v>
      </c>
      <c r="G25" s="6" t="n">
        <f aca="false">G12-G22</f>
        <v>0</v>
      </c>
      <c r="H25" s="6" t="n">
        <f aca="false">H12-H22</f>
        <v>0</v>
      </c>
      <c r="I25" s="6" t="n">
        <f aca="false">I12-I22</f>
        <v>0</v>
      </c>
      <c r="J25" s="6" t="n">
        <f aca="false">J12-J22</f>
        <v>0</v>
      </c>
      <c r="K25" s="6" t="n">
        <f aca="false">K12-K22</f>
        <v>0</v>
      </c>
      <c r="L25" s="6" t="n">
        <f aca="false">L12-L22</f>
        <v>0</v>
      </c>
      <c r="M25" s="6" t="n">
        <f aca="false">M12-M22</f>
        <v>0</v>
      </c>
      <c r="N25" s="6" t="n">
        <f aca="false">N12-N22</f>
        <v>0</v>
      </c>
      <c r="O25" s="6" t="n">
        <f aca="false">O12-O22</f>
        <v>0</v>
      </c>
      <c r="P25" s="6" t="n">
        <f aca="false">P12-P22</f>
        <v>0</v>
      </c>
      <c r="Q25" s="6" t="n">
        <f aca="false">Q12-Q22</f>
        <v>0</v>
      </c>
      <c r="R25" s="6" t="n">
        <f aca="false">R12-R22</f>
        <v>0</v>
      </c>
      <c r="S25" s="6" t="n">
        <f aca="false">S12-S22</f>
        <v>0</v>
      </c>
      <c r="T25" s="6" t="n">
        <f aca="false">T12-T22</f>
        <v>0</v>
      </c>
      <c r="U25" s="6" t="n">
        <f aca="false">U12-U22</f>
        <v>0</v>
      </c>
      <c r="V25" s="6" t="n">
        <f aca="false">V12-V22</f>
        <v>0</v>
      </c>
      <c r="W25" s="6" t="n">
        <f aca="false">W12-W22</f>
        <v>0</v>
      </c>
      <c r="X25" s="6" t="n">
        <f aca="false">E25</f>
        <v>0</v>
      </c>
      <c r="Y25" s="6" t="n">
        <f aca="false">Q25</f>
        <v>0</v>
      </c>
      <c r="Z25" s="6" t="n">
        <f aca="false">W25</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8"/>
    <col collapsed="false" customWidth="true" hidden="false" outlineLevel="0" max="26" min="2" style="0" width="15"/>
  </cols>
  <sheetData>
    <row r="1" customFormat="false" ht="15" hidden="false" customHeight="false" outlineLevel="0" collapsed="false">
      <c r="A1" s="1" t="s">
        <v>54</v>
      </c>
    </row>
    <row r="2" customFormat="false" ht="15" hidden="false" customHeight="false" outlineLevel="0" collapsed="false">
      <c r="A2" s="2" t="s">
        <v>55</v>
      </c>
    </row>
    <row r="6" customFormat="false" ht="15" hidden="false" customHeight="false" outlineLevel="0" collapsed="false">
      <c r="A6" s="3" t="s">
        <v>2</v>
      </c>
      <c r="B6" s="4" t="s">
        <v>3</v>
      </c>
      <c r="C6" s="4" t="s">
        <v>4</v>
      </c>
      <c r="D6" s="4" t="s">
        <v>5</v>
      </c>
      <c r="E6" s="4" t="s">
        <v>6</v>
      </c>
      <c r="F6" s="4" t="s">
        <v>7</v>
      </c>
      <c r="G6" s="4" t="s">
        <v>8</v>
      </c>
      <c r="H6" s="4" t="s">
        <v>9</v>
      </c>
      <c r="I6" s="4" t="s">
        <v>10</v>
      </c>
      <c r="J6" s="4" t="s">
        <v>11</v>
      </c>
      <c r="K6" s="4" t="s">
        <v>12</v>
      </c>
      <c r="L6" s="4" t="s">
        <v>13</v>
      </c>
      <c r="M6" s="4" t="s">
        <v>14</v>
      </c>
      <c r="N6" s="4" t="s">
        <v>15</v>
      </c>
      <c r="O6" s="4" t="s">
        <v>16</v>
      </c>
      <c r="P6" s="4" t="s">
        <v>17</v>
      </c>
      <c r="Q6" s="4" t="s">
        <v>18</v>
      </c>
      <c r="R6" s="4" t="s">
        <v>19</v>
      </c>
      <c r="S6" s="4" t="s">
        <v>20</v>
      </c>
      <c r="T6" s="4" t="s">
        <v>21</v>
      </c>
      <c r="U6" s="4" t="s">
        <v>22</v>
      </c>
      <c r="V6" s="4" t="s">
        <v>23</v>
      </c>
      <c r="W6" s="4" t="s">
        <v>24</v>
      </c>
      <c r="X6" s="3" t="s">
        <v>25</v>
      </c>
      <c r="Y6" s="3" t="s">
        <v>26</v>
      </c>
      <c r="Z6" s="3" t="s">
        <v>27</v>
      </c>
    </row>
    <row r="7" customFormat="false" ht="15" hidden="false" customHeight="false" outlineLevel="0" collapsed="false">
      <c r="A7" s="2" t="s">
        <v>56</v>
      </c>
      <c r="B7" s="5" t="n">
        <v>9540000</v>
      </c>
      <c r="C7" s="5" t="n">
        <v>9566562.26</v>
      </c>
      <c r="D7" s="5" t="n">
        <v>9629465.29</v>
      </c>
      <c r="E7" s="5" t="n">
        <v>9669412.92</v>
      </c>
      <c r="F7" s="5" t="n">
        <v>9712376.33</v>
      </c>
      <c r="G7" s="5" t="n">
        <v>9992464.91</v>
      </c>
      <c r="H7" s="5" t="n">
        <v>10051903.17</v>
      </c>
      <c r="I7" s="5" t="n">
        <v>9998329.8</v>
      </c>
      <c r="J7" s="5" t="n">
        <v>10047591.29</v>
      </c>
      <c r="K7" s="5" t="n">
        <v>10122568.36</v>
      </c>
      <c r="L7" s="5" t="n">
        <v>10063231.36</v>
      </c>
      <c r="M7" s="5" t="n">
        <v>10140761.15</v>
      </c>
      <c r="N7" s="5" t="n">
        <v>10184294.59</v>
      </c>
      <c r="O7" s="5" t="n">
        <v>10128132.93</v>
      </c>
      <c r="P7" s="5" t="n">
        <v>10204870.67</v>
      </c>
      <c r="Q7" s="5" t="n">
        <v>10230603.63</v>
      </c>
      <c r="R7" s="5" t="n">
        <v>10193034.49</v>
      </c>
      <c r="S7" s="5" t="n">
        <v>10211821.45</v>
      </c>
      <c r="T7" s="5" t="n">
        <v>10287327.63</v>
      </c>
      <c r="U7" s="5" t="n">
        <v>10257936.06</v>
      </c>
      <c r="V7" s="5" t="n">
        <v>10311450.07</v>
      </c>
      <c r="W7" s="5" t="n">
        <v>10316981.15</v>
      </c>
      <c r="X7" s="6" t="n">
        <f aca="false">B7</f>
        <v>9540000</v>
      </c>
      <c r="Y7" s="6" t="n">
        <f aca="false">F7</f>
        <v>9712376.33</v>
      </c>
      <c r="Z7" s="6" t="n">
        <f aca="false">R7</f>
        <v>10193034.49</v>
      </c>
    </row>
    <row r="8" customFormat="false" ht="15" hidden="false" customHeight="false" outlineLevel="0" collapsed="false">
      <c r="A8" s="2" t="s">
        <v>57</v>
      </c>
      <c r="B8" s="5" t="n">
        <v>26562.26</v>
      </c>
      <c r="C8" s="5" t="n">
        <v>62903.03</v>
      </c>
      <c r="D8" s="5" t="n">
        <v>39947.63</v>
      </c>
      <c r="E8" s="5" t="n">
        <v>42963.41</v>
      </c>
      <c r="F8" s="5" t="n">
        <v>59036.68</v>
      </c>
      <c r="G8" s="5" t="n">
        <v>59438.26</v>
      </c>
      <c r="H8" s="5" t="n">
        <v>-53573.37</v>
      </c>
      <c r="I8" s="5" t="n">
        <v>49261.49</v>
      </c>
      <c r="J8" s="5" t="n">
        <v>74977.07</v>
      </c>
      <c r="K8" s="5" t="n">
        <v>-59337</v>
      </c>
      <c r="L8" s="5" t="n">
        <v>77529.79</v>
      </c>
      <c r="M8" s="5" t="n">
        <v>43533.44</v>
      </c>
      <c r="N8" s="5" t="n">
        <v>-56161.66</v>
      </c>
      <c r="O8" s="5" t="n">
        <v>76737.74</v>
      </c>
      <c r="P8" s="5" t="n">
        <v>25732.96</v>
      </c>
      <c r="Q8" s="5" t="n">
        <v>-37569.14</v>
      </c>
      <c r="R8" s="5" t="n">
        <v>18786.96</v>
      </c>
      <c r="S8" s="5" t="n">
        <v>75506.18</v>
      </c>
      <c r="T8" s="5" t="n">
        <v>-29391.57</v>
      </c>
      <c r="U8" s="5" t="n">
        <v>53514.01</v>
      </c>
      <c r="V8" s="5" t="n">
        <v>5531.08</v>
      </c>
      <c r="W8" s="5" t="n">
        <v>5856.47</v>
      </c>
      <c r="X8" s="6" t="n">
        <f aca="false">SUM(B8:E8)</f>
        <v>172376.33</v>
      </c>
      <c r="Y8" s="6" t="n">
        <f aca="false">SUM(F8:Q8)</f>
        <v>259606.26</v>
      </c>
      <c r="Z8" s="6" t="n">
        <f aca="false">SUM(R8:W8)</f>
        <v>129803.13</v>
      </c>
    </row>
    <row r="9" customFormat="false" ht="15" hidden="false" customHeight="false" outlineLevel="0" collapsed="false">
      <c r="A9" s="2" t="s">
        <v>58</v>
      </c>
      <c r="B9" s="5" t="n">
        <v>0</v>
      </c>
      <c r="C9" s="5" t="n">
        <v>0</v>
      </c>
      <c r="D9" s="5" t="n">
        <v>0</v>
      </c>
      <c r="E9" s="5" t="n">
        <v>0</v>
      </c>
      <c r="F9" s="5" t="n">
        <v>0</v>
      </c>
      <c r="G9" s="5" t="n">
        <v>0</v>
      </c>
      <c r="H9" s="5" t="n">
        <v>0</v>
      </c>
      <c r="I9" s="5" t="n">
        <v>0</v>
      </c>
      <c r="J9" s="5" t="n">
        <v>0</v>
      </c>
      <c r="K9" s="5" t="n">
        <v>0</v>
      </c>
      <c r="L9" s="5" t="n">
        <v>0</v>
      </c>
      <c r="M9" s="5" t="n">
        <v>0</v>
      </c>
      <c r="N9" s="5" t="n">
        <v>0</v>
      </c>
      <c r="O9" s="5" t="n">
        <v>0</v>
      </c>
      <c r="P9" s="5" t="n">
        <v>0</v>
      </c>
      <c r="Q9" s="5" t="n">
        <v>0</v>
      </c>
      <c r="R9" s="5" t="n">
        <v>0</v>
      </c>
      <c r="S9" s="5" t="n">
        <v>0</v>
      </c>
      <c r="T9" s="5" t="n">
        <v>0</v>
      </c>
      <c r="U9" s="5" t="n">
        <v>0</v>
      </c>
      <c r="V9" s="5" t="n">
        <v>0</v>
      </c>
      <c r="W9" s="5" t="n">
        <v>0</v>
      </c>
      <c r="X9" s="6" t="n">
        <f aca="false">SUM(B9:E9)</f>
        <v>0</v>
      </c>
      <c r="Y9" s="6" t="n">
        <f aca="false">SUM(F9:Q9)</f>
        <v>0</v>
      </c>
      <c r="Z9" s="6" t="n">
        <f aca="false">SUM(R9:W9)</f>
        <v>0</v>
      </c>
    </row>
    <row r="10" customFormat="false" ht="15" hidden="false" customHeight="false" outlineLevel="0" collapsed="false">
      <c r="A10" s="2" t="s">
        <v>59</v>
      </c>
      <c r="B10" s="5" t="n">
        <v>0</v>
      </c>
      <c r="C10" s="5" t="n">
        <v>0</v>
      </c>
      <c r="D10" s="5" t="n">
        <v>0</v>
      </c>
      <c r="E10" s="5" t="n">
        <v>0</v>
      </c>
      <c r="F10" s="5" t="n">
        <v>221051.9</v>
      </c>
      <c r="G10" s="5" t="n">
        <v>0</v>
      </c>
      <c r="H10" s="5" t="n">
        <v>0</v>
      </c>
      <c r="I10" s="5" t="n">
        <v>0</v>
      </c>
      <c r="J10" s="5" t="n">
        <v>0</v>
      </c>
      <c r="K10" s="5" t="n">
        <v>0</v>
      </c>
      <c r="L10" s="5" t="n">
        <v>0</v>
      </c>
      <c r="M10" s="5" t="n">
        <v>0</v>
      </c>
      <c r="N10" s="5" t="n">
        <v>0</v>
      </c>
      <c r="O10" s="5" t="n">
        <v>0</v>
      </c>
      <c r="P10" s="5" t="n">
        <v>0</v>
      </c>
      <c r="Q10" s="5" t="n">
        <v>0</v>
      </c>
      <c r="R10" s="5" t="n">
        <v>0</v>
      </c>
      <c r="S10" s="5" t="n">
        <v>0</v>
      </c>
      <c r="T10" s="5" t="n">
        <v>0</v>
      </c>
      <c r="U10" s="5" t="n">
        <v>0</v>
      </c>
      <c r="V10" s="5" t="n">
        <v>0</v>
      </c>
      <c r="W10" s="5" t="n">
        <v>0</v>
      </c>
      <c r="X10" s="6" t="n">
        <f aca="false">SUM(B10:E10)</f>
        <v>0</v>
      </c>
      <c r="Y10" s="6" t="n">
        <f aca="false">SUM(F10:Q10)</f>
        <v>221051.9</v>
      </c>
      <c r="Z10" s="6" t="n">
        <f aca="false">SUM(R10:W10)</f>
        <v>0</v>
      </c>
    </row>
    <row r="11" customFormat="false" ht="15" hidden="false" customHeight="false" outlineLevel="0" collapsed="false">
      <c r="A11" s="2" t="s">
        <v>60</v>
      </c>
      <c r="B11" s="6" t="n">
        <f aca="false">B7+B8+B9+B10</f>
        <v>9566562.26</v>
      </c>
      <c r="C11" s="6" t="n">
        <f aca="false">C7+C8+C9+C10</f>
        <v>9629465.29</v>
      </c>
      <c r="D11" s="6" t="n">
        <f aca="false">D7+D8+D9+D10</f>
        <v>9669412.92</v>
      </c>
      <c r="E11" s="6" t="n">
        <f aca="false">E7+E8+E9+E10</f>
        <v>9712376.33</v>
      </c>
      <c r="F11" s="6" t="n">
        <f aca="false">F7+F8+F9+F10</f>
        <v>9992464.91</v>
      </c>
      <c r="G11" s="6" t="n">
        <f aca="false">G7+G8+G9+G10</f>
        <v>10051903.17</v>
      </c>
      <c r="H11" s="6" t="n">
        <f aca="false">H7+H8+H9+H10</f>
        <v>9998329.8</v>
      </c>
      <c r="I11" s="6" t="n">
        <f aca="false">I7+I8+I9+I10</f>
        <v>10047591.29</v>
      </c>
      <c r="J11" s="6" t="n">
        <f aca="false">J7+J8+J9+J10</f>
        <v>10122568.36</v>
      </c>
      <c r="K11" s="6" t="n">
        <f aca="false">K7+K8+K9+K10</f>
        <v>10063231.36</v>
      </c>
      <c r="L11" s="6" t="n">
        <f aca="false">L7+L8+L9+L10</f>
        <v>10140761.15</v>
      </c>
      <c r="M11" s="6" t="n">
        <f aca="false">M7+M8+M9+M10</f>
        <v>10184294.59</v>
      </c>
      <c r="N11" s="6" t="n">
        <f aca="false">N7+N8+N9+N10</f>
        <v>10128132.93</v>
      </c>
      <c r="O11" s="6" t="n">
        <f aca="false">O7+O8+O9+O10</f>
        <v>10204870.67</v>
      </c>
      <c r="P11" s="6" t="n">
        <f aca="false">P7+P8+P9+P10</f>
        <v>10230603.63</v>
      </c>
      <c r="Q11" s="6" t="n">
        <f aca="false">Q7+Q8+Q9+Q10</f>
        <v>10193034.49</v>
      </c>
      <c r="R11" s="6" t="n">
        <f aca="false">R7+R8+R9+R10</f>
        <v>10211821.45</v>
      </c>
      <c r="S11" s="6" t="n">
        <f aca="false">S7+S8+S9+S10</f>
        <v>10287327.63</v>
      </c>
      <c r="T11" s="6" t="n">
        <f aca="false">T7+T8+T9+T10</f>
        <v>10257936.06</v>
      </c>
      <c r="U11" s="6" t="n">
        <f aca="false">U7+U8+U9+U10</f>
        <v>10311450.07</v>
      </c>
      <c r="V11" s="6" t="n">
        <f aca="false">V7+V8+V9+V10</f>
        <v>10316981.15</v>
      </c>
      <c r="W11" s="6" t="n">
        <f aca="false">W7+W8+W9+W10</f>
        <v>10322837.62</v>
      </c>
      <c r="X11" s="6" t="n">
        <f aca="false">E11</f>
        <v>9712376.33</v>
      </c>
      <c r="Y11" s="6" t="n">
        <f aca="false">Q11</f>
        <v>10193034.49</v>
      </c>
      <c r="Z11" s="6" t="n">
        <f aca="false">W11</f>
        <v>10322837.62</v>
      </c>
    </row>
    <row r="13" customFormat="false" ht="15" hidden="false" customHeight="false" outlineLevel="0" collapsed="false">
      <c r="A13" s="2" t="s">
        <v>61</v>
      </c>
      <c r="B13" s="6" t="n">
        <f aca="false">B11-B7</f>
        <v>26562.2599999998</v>
      </c>
      <c r="C13" s="6" t="n">
        <f aca="false">C11-C7</f>
        <v>62903.0299999993</v>
      </c>
      <c r="D13" s="6" t="n">
        <f aca="false">D11-D7</f>
        <v>39947.6300000008</v>
      </c>
      <c r="E13" s="6" t="n">
        <f aca="false">E11-E7</f>
        <v>42963.4100000002</v>
      </c>
      <c r="F13" s="6" t="n">
        <f aca="false">F11-F7</f>
        <v>280088.58</v>
      </c>
      <c r="G13" s="6" t="n">
        <f aca="false">G11-G7</f>
        <v>59438.2599999998</v>
      </c>
      <c r="H13" s="6" t="n">
        <f aca="false">H11-H7</f>
        <v>-53573.3699999992</v>
      </c>
      <c r="I13" s="6" t="n">
        <f aca="false">I11-I7</f>
        <v>49261.4900000002</v>
      </c>
      <c r="J13" s="6" t="n">
        <f aca="false">J11-J7</f>
        <v>74977.0700000003</v>
      </c>
      <c r="K13" s="6" t="n">
        <f aca="false">K11-K7</f>
        <v>-59337</v>
      </c>
      <c r="L13" s="6" t="n">
        <f aca="false">L11-L7</f>
        <v>77529.7899999991</v>
      </c>
      <c r="M13" s="6" t="n">
        <f aca="false">M11-M7</f>
        <v>43533.4399999995</v>
      </c>
      <c r="N13" s="6" t="n">
        <f aca="false">N11-N7</f>
        <v>-56161.6600000002</v>
      </c>
      <c r="O13" s="6" t="n">
        <f aca="false">O11-O7</f>
        <v>76737.7400000002</v>
      </c>
      <c r="P13" s="6" t="n">
        <f aca="false">P11-P7</f>
        <v>25732.9600000009</v>
      </c>
      <c r="Q13" s="6" t="n">
        <f aca="false">Q11-Q7</f>
        <v>-37569.1400000006</v>
      </c>
      <c r="R13" s="6" t="n">
        <f aca="false">R11-R7</f>
        <v>18786.9600000009</v>
      </c>
      <c r="S13" s="6" t="n">
        <f aca="false">S11-S7</f>
        <v>75506.1799999997</v>
      </c>
      <c r="T13" s="6" t="n">
        <f aca="false">T11-T7</f>
        <v>-29391.5700000003</v>
      </c>
      <c r="U13" s="6" t="n">
        <f aca="false">U11-U7</f>
        <v>53514.0099999998</v>
      </c>
      <c r="V13" s="6" t="n">
        <f aca="false">V11-V7</f>
        <v>5531.08000000007</v>
      </c>
      <c r="W13" s="6" t="n">
        <f aca="false">W11-W7</f>
        <v>5856.47000000067</v>
      </c>
      <c r="X13" s="6" t="n">
        <f aca="false">SUM(B13:E13)</f>
        <v>172376.33</v>
      </c>
      <c r="Y13" s="6" t="n">
        <f aca="false">SUM(F13:Q13)</f>
        <v>480658.16</v>
      </c>
      <c r="Z13" s="6" t="n">
        <f aca="false">SUM(R13:W13)</f>
        <v>129803.130000001</v>
      </c>
    </row>
    <row r="14" customFormat="false" ht="15" hidden="false" customHeight="false" outlineLevel="0" collapsed="false">
      <c r="A14" s="2" t="s">
        <v>62</v>
      </c>
      <c r="B14" s="6" t="n">
        <f aca="false">B8+B9+B10</f>
        <v>26562.26</v>
      </c>
      <c r="C14" s="6" t="n">
        <f aca="false">C8+C9+C10</f>
        <v>62903.03</v>
      </c>
      <c r="D14" s="6" t="n">
        <f aca="false">D8+D9+D10</f>
        <v>39947.63</v>
      </c>
      <c r="E14" s="6" t="n">
        <f aca="false">E8+E9+E10</f>
        <v>42963.41</v>
      </c>
      <c r="F14" s="6" t="n">
        <f aca="false">F8+F9+F10</f>
        <v>280088.58</v>
      </c>
      <c r="G14" s="6" t="n">
        <f aca="false">G8+G9+G10</f>
        <v>59438.26</v>
      </c>
      <c r="H14" s="6" t="n">
        <f aca="false">H8+H9+H10</f>
        <v>-53573.37</v>
      </c>
      <c r="I14" s="6" t="n">
        <f aca="false">I8+I9+I10</f>
        <v>49261.49</v>
      </c>
      <c r="J14" s="6" t="n">
        <f aca="false">J8+J9+J10</f>
        <v>74977.07</v>
      </c>
      <c r="K14" s="6" t="n">
        <f aca="false">K8+K9+K10</f>
        <v>-59337</v>
      </c>
      <c r="L14" s="6" t="n">
        <f aca="false">L8+L9+L10</f>
        <v>77529.79</v>
      </c>
      <c r="M14" s="6" t="n">
        <f aca="false">M8+M9+M10</f>
        <v>43533.44</v>
      </c>
      <c r="N14" s="6" t="n">
        <f aca="false">N8+N9+N10</f>
        <v>-56161.66</v>
      </c>
      <c r="O14" s="6" t="n">
        <f aca="false">O8+O9+O10</f>
        <v>76737.74</v>
      </c>
      <c r="P14" s="6" t="n">
        <f aca="false">P8+P9+P10</f>
        <v>25732.96</v>
      </c>
      <c r="Q14" s="6" t="n">
        <f aca="false">Q8+Q9+Q10</f>
        <v>-37569.14</v>
      </c>
      <c r="R14" s="6" t="n">
        <f aca="false">R8+R9+R10</f>
        <v>18786.96</v>
      </c>
      <c r="S14" s="6" t="n">
        <f aca="false">S8+S9+S10</f>
        <v>75506.18</v>
      </c>
      <c r="T14" s="6" t="n">
        <f aca="false">T8+T9+T10</f>
        <v>-29391.57</v>
      </c>
      <c r="U14" s="6" t="n">
        <f aca="false">U8+U9+U10</f>
        <v>53514.01</v>
      </c>
      <c r="V14" s="6" t="n">
        <f aca="false">V8+V9+V10</f>
        <v>5531.08</v>
      </c>
      <c r="W14" s="6" t="n">
        <f aca="false">W8+W9+W10</f>
        <v>5856.47</v>
      </c>
      <c r="X14" s="6" t="n">
        <f aca="false">SUM(B14:E14)</f>
        <v>172376.33</v>
      </c>
      <c r="Y14" s="6" t="n">
        <f aca="false">SUM(F14:Q14)</f>
        <v>480658.16</v>
      </c>
      <c r="Z14" s="6" t="n">
        <f aca="false">SUM(R14:W14)</f>
        <v>129803.13</v>
      </c>
    </row>
    <row r="15" customFormat="false" ht="15" hidden="false" customHeight="false" outlineLevel="0" collapsed="false">
      <c r="A15" s="2" t="s">
        <v>63</v>
      </c>
      <c r="B15" s="6" t="n">
        <f aca="false">B13-B14</f>
        <v>-2.21916707232595E-010</v>
      </c>
      <c r="C15" s="6" t="n">
        <f aca="false">C13-C14</f>
        <v>-6.69388100504875E-010</v>
      </c>
      <c r="D15" s="6" t="n">
        <f aca="false">D13-D14</f>
        <v>8.22183210402727E-010</v>
      </c>
      <c r="E15" s="6" t="n">
        <f aca="false">E13-E14</f>
        <v>0</v>
      </c>
      <c r="F15" s="6" t="n">
        <f aca="false">F13-F14</f>
        <v>0</v>
      </c>
      <c r="G15" s="6" t="n">
        <f aca="false">G13-G14</f>
        <v>-2.25554686039686E-010</v>
      </c>
      <c r="H15" s="6" t="n">
        <f aca="false">H13-H14</f>
        <v>8.22183210402727E-010</v>
      </c>
      <c r="I15" s="6" t="n">
        <f aca="false">I13-I14</f>
        <v>2.25554686039686E-010</v>
      </c>
      <c r="J15" s="6" t="n">
        <f aca="false">J13-J14</f>
        <v>2.91038304567337E-010</v>
      </c>
      <c r="K15" s="6" t="n">
        <f aca="false">K13-K14</f>
        <v>0</v>
      </c>
      <c r="L15" s="6" t="n">
        <f aca="false">L13-L14</f>
        <v>-8.87666828930378E-010</v>
      </c>
      <c r="M15" s="6" t="n">
        <f aca="false">M13-M14</f>
        <v>-5.23868948221207E-010</v>
      </c>
      <c r="N15" s="6" t="n">
        <f aca="false">N13-N14</f>
        <v>0</v>
      </c>
      <c r="O15" s="6" t="n">
        <f aca="false">O13-O14</f>
        <v>0</v>
      </c>
      <c r="P15" s="6" t="n">
        <f aca="false">P13-P14</f>
        <v>8.94942786544561E-010</v>
      </c>
      <c r="Q15" s="6" t="n">
        <f aca="false">Q13-Q14</f>
        <v>-5.96628524363041E-010</v>
      </c>
      <c r="R15" s="6" t="n">
        <f aca="false">R13-R14</f>
        <v>8.94942786544561E-010</v>
      </c>
      <c r="S15" s="6" t="n">
        <f aca="false">S13-S14</f>
        <v>-2.91038304567337E-010</v>
      </c>
      <c r="T15" s="6" t="n">
        <f aca="false">T13-T14</f>
        <v>-2.9831426218152E-010</v>
      </c>
      <c r="U15" s="6" t="n">
        <f aca="false">U13-U14</f>
        <v>-2.25554686039686E-010</v>
      </c>
      <c r="V15" s="6" t="n">
        <f aca="false">V13-V14</f>
        <v>7.45785655453801E-011</v>
      </c>
      <c r="W15" s="6" t="n">
        <f aca="false">W13-W14</f>
        <v>6.70297595206648E-010</v>
      </c>
      <c r="X15" s="6" t="n">
        <f aca="false">SUM(B15:E15)</f>
        <v>-6.91215973347426E-011</v>
      </c>
      <c r="Y15" s="6" t="n">
        <f aca="false">SUM(F15:Q15)</f>
        <v>0</v>
      </c>
      <c r="Z15" s="6" t="n">
        <f aca="false">SUM(R15:W15)</f>
        <v>8.24911694508046E-010</v>
      </c>
    </row>
    <row r="16" customFormat="false" ht="15" hidden="false" customHeight="false" outlineLevel="0" collapsed="false">
      <c r="A16" s="2" t="s">
        <v>64</v>
      </c>
      <c r="B16" s="6" t="n">
        <f aca="false">'Balance Sheet'!B7</f>
        <v>9566562.26</v>
      </c>
      <c r="C16" s="6" t="n">
        <f aca="false">'Balance Sheet'!C7</f>
        <v>9629465.29</v>
      </c>
      <c r="D16" s="6" t="n">
        <f aca="false">'Balance Sheet'!D7</f>
        <v>9669412.92</v>
      </c>
      <c r="E16" s="6" t="n">
        <f aca="false">'Balance Sheet'!E7</f>
        <v>9712376.33</v>
      </c>
      <c r="F16" s="6" t="n">
        <f aca="false">'Balance Sheet'!F7</f>
        <v>9992464.91</v>
      </c>
      <c r="G16" s="6" t="n">
        <f aca="false">'Balance Sheet'!G7</f>
        <v>10051903.17</v>
      </c>
      <c r="H16" s="6" t="n">
        <f aca="false">'Balance Sheet'!H7</f>
        <v>9998329.8</v>
      </c>
      <c r="I16" s="6" t="n">
        <f aca="false">'Balance Sheet'!I7</f>
        <v>10047591.29</v>
      </c>
      <c r="J16" s="6" t="n">
        <f aca="false">'Balance Sheet'!J7</f>
        <v>10122568.36</v>
      </c>
      <c r="K16" s="6" t="n">
        <f aca="false">'Balance Sheet'!K7</f>
        <v>10063231.36</v>
      </c>
      <c r="L16" s="6" t="n">
        <f aca="false">'Balance Sheet'!L7</f>
        <v>10140761.15</v>
      </c>
      <c r="M16" s="6" t="n">
        <f aca="false">'Balance Sheet'!M7</f>
        <v>10184294.59</v>
      </c>
      <c r="N16" s="6" t="n">
        <f aca="false">'Balance Sheet'!N7</f>
        <v>10128132.93</v>
      </c>
      <c r="O16" s="6" t="n">
        <f aca="false">'Balance Sheet'!O7</f>
        <v>10204870.67</v>
      </c>
      <c r="P16" s="6" t="n">
        <f aca="false">'Balance Sheet'!P7</f>
        <v>10230603.63</v>
      </c>
      <c r="Q16" s="6" t="n">
        <f aca="false">'Balance Sheet'!Q7</f>
        <v>10193034.49</v>
      </c>
      <c r="R16" s="6" t="n">
        <f aca="false">'Balance Sheet'!R7</f>
        <v>10211821.45</v>
      </c>
      <c r="S16" s="6" t="n">
        <f aca="false">'Balance Sheet'!S7</f>
        <v>10287327.63</v>
      </c>
      <c r="T16" s="6" t="n">
        <f aca="false">'Balance Sheet'!T7</f>
        <v>10257936.06</v>
      </c>
      <c r="U16" s="6" t="n">
        <f aca="false">'Balance Sheet'!U7</f>
        <v>10311450.07</v>
      </c>
      <c r="V16" s="6" t="n">
        <f aca="false">'Balance Sheet'!V7</f>
        <v>10316981.15</v>
      </c>
      <c r="W16" s="6" t="n">
        <f aca="false">'Balance Sheet'!W7</f>
        <v>10322837.62</v>
      </c>
      <c r="X16" s="6" t="n">
        <f aca="false">E16</f>
        <v>9712376.33</v>
      </c>
      <c r="Y16" s="6" t="n">
        <f aca="false">Q16</f>
        <v>10193034.49</v>
      </c>
      <c r="Z16" s="6" t="n">
        <f aca="false">W16</f>
        <v>10322837.62</v>
      </c>
    </row>
    <row r="17" customFormat="false" ht="15" hidden="false" customHeight="false" outlineLevel="0" collapsed="false">
      <c r="A17" s="2" t="s">
        <v>65</v>
      </c>
      <c r="B17" s="6" t="n">
        <f aca="false">B11-B16</f>
        <v>0</v>
      </c>
      <c r="C17" s="6" t="n">
        <f aca="false">C11-C16</f>
        <v>0</v>
      </c>
      <c r="D17" s="6" t="n">
        <f aca="false">D11-D16</f>
        <v>0</v>
      </c>
      <c r="E17" s="6" t="n">
        <f aca="false">E11-E16</f>
        <v>0</v>
      </c>
      <c r="F17" s="6" t="n">
        <f aca="false">F11-F16</f>
        <v>0</v>
      </c>
      <c r="G17" s="6" t="n">
        <f aca="false">G11-G16</f>
        <v>0</v>
      </c>
      <c r="H17" s="6" t="n">
        <f aca="false">H11-H16</f>
        <v>0</v>
      </c>
      <c r="I17" s="6" t="n">
        <f aca="false">I11-I16</f>
        <v>0</v>
      </c>
      <c r="J17" s="6" t="n">
        <f aca="false">J11-J16</f>
        <v>0</v>
      </c>
      <c r="K17" s="6" t="n">
        <f aca="false">K11-K16</f>
        <v>0</v>
      </c>
      <c r="L17" s="6" t="n">
        <f aca="false">L11-L16</f>
        <v>0</v>
      </c>
      <c r="M17" s="6" t="n">
        <f aca="false">M11-M16</f>
        <v>0</v>
      </c>
      <c r="N17" s="6" t="n">
        <f aca="false">N11-N16</f>
        <v>0</v>
      </c>
      <c r="O17" s="6" t="n">
        <f aca="false">O11-O16</f>
        <v>0</v>
      </c>
      <c r="P17" s="6" t="n">
        <f aca="false">P11-P16</f>
        <v>0</v>
      </c>
      <c r="Q17" s="6" t="n">
        <f aca="false">Q11-Q16</f>
        <v>0</v>
      </c>
      <c r="R17" s="6" t="n">
        <f aca="false">R11-R16</f>
        <v>0</v>
      </c>
      <c r="S17" s="6" t="n">
        <f aca="false">S11-S16</f>
        <v>0</v>
      </c>
      <c r="T17" s="6" t="n">
        <f aca="false">T11-T16</f>
        <v>0</v>
      </c>
      <c r="U17" s="6" t="n">
        <f aca="false">U11-U16</f>
        <v>0</v>
      </c>
      <c r="V17" s="6" t="n">
        <f aca="false">V11-V16</f>
        <v>0</v>
      </c>
      <c r="W17" s="6" t="n">
        <f aca="false">W11-W16</f>
        <v>0</v>
      </c>
      <c r="X17" s="6" t="n">
        <f aca="false">E17</f>
        <v>0</v>
      </c>
      <c r="Y17" s="6" t="n">
        <f aca="false">Q17</f>
        <v>0</v>
      </c>
      <c r="Z17" s="6" t="n">
        <f aca="false">W17</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140"/>
  </cols>
  <sheetData>
    <row r="1" customFormat="false" ht="23.85" hidden="false" customHeight="false" outlineLevel="0" collapsed="false">
      <c r="A1" s="3" t="s">
        <v>66</v>
      </c>
      <c r="B1" s="7" t="s">
        <v>67</v>
      </c>
    </row>
    <row r="2" customFormat="false" ht="23.85" hidden="false" customHeight="false" outlineLevel="0" collapsed="false">
      <c r="A2" s="3" t="s">
        <v>68</v>
      </c>
      <c r="B2" s="7" t="s">
        <v>69</v>
      </c>
    </row>
    <row r="3" customFormat="false" ht="35.05" hidden="false" customHeight="false" outlineLevel="0" collapsed="false">
      <c r="A3" s="3" t="s">
        <v>70</v>
      </c>
      <c r="B3" s="7" t="s">
        <v>71</v>
      </c>
    </row>
    <row r="4" customFormat="false" ht="35.05" hidden="false" customHeight="false" outlineLevel="0" collapsed="false">
      <c r="A4" s="3" t="s">
        <v>72</v>
      </c>
      <c r="B4" s="7" t="s">
        <v>73</v>
      </c>
    </row>
    <row r="5" customFormat="false" ht="79.85" hidden="false" customHeight="false" outlineLevel="0" collapsed="false">
      <c r="A5" s="3" t="s">
        <v>74</v>
      </c>
      <c r="B5" s="7" t="s">
        <v>75</v>
      </c>
    </row>
    <row r="6" customFormat="false" ht="147" hidden="false" customHeight="false" outlineLevel="0" collapsed="false">
      <c r="A6" s="3" t="s">
        <v>76</v>
      </c>
      <c r="B6" s="7" t="s">
        <v>77</v>
      </c>
    </row>
    <row r="7" customFormat="false" ht="57.45" hidden="false" customHeight="false" outlineLevel="0" collapsed="false">
      <c r="A7" s="3" t="s">
        <v>78</v>
      </c>
      <c r="B7" s="7" t="s">
        <v>79</v>
      </c>
    </row>
    <row r="8" customFormat="false" ht="91" hidden="false" customHeight="false" outlineLevel="0" collapsed="false">
      <c r="A8" s="3" t="s">
        <v>80</v>
      </c>
      <c r="B8" s="7" t="s">
        <v>81</v>
      </c>
    </row>
    <row r="9" customFormat="false" ht="46.25" hidden="false" customHeight="false" outlineLevel="0" collapsed="false">
      <c r="A9" s="3" t="s">
        <v>82</v>
      </c>
      <c r="B9" s="7" t="s">
        <v>83</v>
      </c>
    </row>
    <row r="10" customFormat="false" ht="68.65" hidden="false" customHeight="false" outlineLevel="0" collapsed="false">
      <c r="A10" s="3" t="s">
        <v>84</v>
      </c>
      <c r="B10" s="7" t="s">
        <v>85</v>
      </c>
    </row>
    <row r="11" customFormat="false" ht="46.25" hidden="false" customHeight="false" outlineLevel="0" collapsed="false">
      <c r="A11" s="3" t="s">
        <v>86</v>
      </c>
      <c r="B11" s="7" t="s">
        <v>87</v>
      </c>
    </row>
    <row r="12" customFormat="false" ht="79.85" hidden="false" customHeight="false" outlineLevel="0" collapsed="false">
      <c r="A12" s="3" t="s">
        <v>88</v>
      </c>
      <c r="B12" s="7" t="s">
        <v>89</v>
      </c>
    </row>
    <row r="13" customFormat="false" ht="68.65" hidden="false" customHeight="false" outlineLevel="0" collapsed="false">
      <c r="A13" s="3" t="s">
        <v>90</v>
      </c>
      <c r="B13" s="7" t="s">
        <v>91</v>
      </c>
    </row>
    <row r="14" customFormat="false" ht="102.2" hidden="false" customHeight="false" outlineLevel="0" collapsed="false">
      <c r="A14" s="3" t="s">
        <v>92</v>
      </c>
      <c r="B14" s="7" t="s">
        <v>93</v>
      </c>
    </row>
    <row r="15" customFormat="false" ht="91" hidden="false" customHeight="false" outlineLevel="0" collapsed="false">
      <c r="A15" s="3" t="s">
        <v>94</v>
      </c>
      <c r="B15" s="7" t="s">
        <v>95</v>
      </c>
    </row>
    <row r="16" customFormat="false" ht="35.05" hidden="false" customHeight="false" outlineLevel="0" collapsed="false">
      <c r="A16" s="3" t="s">
        <v>96</v>
      </c>
      <c r="B16" s="7" t="s">
        <v>97</v>
      </c>
    </row>
    <row r="17" customFormat="false" ht="35.05" hidden="false" customHeight="false" outlineLevel="0" collapsed="false">
      <c r="A17" s="3" t="s">
        <v>98</v>
      </c>
      <c r="B17" s="7" t="s">
        <v>99</v>
      </c>
    </row>
    <row r="18" customFormat="false" ht="35.05" hidden="false" customHeight="false" outlineLevel="0" collapsed="false">
      <c r="A18" s="3" t="s">
        <v>100</v>
      </c>
      <c r="B18" s="7" t="s">
        <v>101</v>
      </c>
    </row>
    <row r="19" customFormat="false" ht="23.85" hidden="false" customHeight="false" outlineLevel="0" collapsed="false">
      <c r="A19" s="3" t="s">
        <v>102</v>
      </c>
      <c r="B19" s="7" t="s">
        <v>103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2026-09-16T09:39:30Z</dcterms:created>
  <dc:creator>openpyxl</dc:creator>
  <dc:description/>
  <dc:language>en-US</dc:language>
  <cp:lastModifiedBy/>
  <dcterms:modified xsi:type="dcterms:W3CDTF">2026-09-16T09:39:30Z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
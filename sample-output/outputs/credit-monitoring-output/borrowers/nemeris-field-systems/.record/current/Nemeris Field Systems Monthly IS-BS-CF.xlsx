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come Statement" sheetId="1" state="visible" r:id="rId3"/>
    <sheet name="Balance Sheet" sheetId="2" state="visible" r:id="rId4"/>
    <sheet name="Cash Flow Statement" sheetId="3" state="visible" r:id="rId5"/>
    <sheet name="Sources &amp;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<sst xmlns="http://schemas.openxmlformats.org/spreadsheetml/2006/main" count="219" uniqueCount="156">
  <si>
    <t xml:space="preserve">Nemeris Field Systems, LLC | Detailed Income Statement</t>
  </si>
  <si>
    <t xml:space="preserve">Management accounts | USD (whole dollars) | Unaudited | Source: borrower Monthly Financial Package, Income Statement tab</t>
  </si>
  <si>
    <t xml:space="preserve">Account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</si>
  <si>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</si>
  <si>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</si>
  <si>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</si>
  <si>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</si>
  <si>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</si>
  <si>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</si>
  <si>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</si>
  <si>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</si>
  <si>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</si>
  <si>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</si>
  <si>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</si>
  <si>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</si>
  <si>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</si>
  <si>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</si>
  <si>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</si>
  <si>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</si>
  <si>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</si>
  <si>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</si>
  <si>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</si>
  <si>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</si>
  <si>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</si>
  <si>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</si>
  <si>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</si>
  <si>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</si>
  <si>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</si>
  <si>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</si>
  <si>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</si>
  <si>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FY2024 (Apr-Dec, partial)</t>
  </si>
  <si>
    <t xml:space="preserve">FY2025</t>
  </si>
  <si>
    <t xml:space="preserve">2026 YTD (Jan-Jun)</t>
  </si>
  <si>
    <t xml:space="preserve">NET REVENUE</t>
  </si>
  <si>
    <t xml:space="preserve">Ruggedized Tool Systems</t>
  </si>
  <si>
    <t xml:space="preserve">Diagnostic Units</t>
  </si>
  <si>
    <t xml:space="preserve">Replacement Components</t>
  </si>
  <si>
    <t xml:space="preserve">Preventive Maintenance Plans</t>
  </si>
  <si>
    <t xml:space="preserve">Calibration Services</t>
  </si>
  <si>
    <t xml:space="preserve">Field Support &amp; Training</t>
  </si>
  <si>
    <t xml:space="preserve">Net Revenue</t>
  </si>
  <si>
    <t xml:space="preserve">COST OF REVENUE</t>
  </si>
  <si>
    <t xml:space="preserve">Equipment and component purchases</t>
  </si>
  <si>
    <t xml:space="preserve">Direct field labor</t>
  </si>
  <si>
    <t xml:space="preserve">Freight and logistics</t>
  </si>
  <si>
    <t xml:space="preserve">Warranty and refurbishment</t>
  </si>
  <si>
    <t xml:space="preserve">Service parts consumption</t>
  </si>
  <si>
    <t xml:space="preserve">Other direct costs</t>
  </si>
  <si>
    <t xml:space="preserve">Cost of Revenue</t>
  </si>
  <si>
    <t xml:space="preserve">Gross Profit</t>
  </si>
  <si>
    <t xml:space="preserve">Gross Margin</t>
  </si>
  <si>
    <t xml:space="preserve">OPERATING EXPENSES</t>
  </si>
  <si>
    <t xml:space="preserve">Sales compensation</t>
  </si>
  <si>
    <t xml:space="preserve">Marketing programs</t>
  </si>
  <si>
    <t xml:space="preserve">Operations payroll</t>
  </si>
  <si>
    <t xml:space="preserve">Product and engineering</t>
  </si>
  <si>
    <t xml:space="preserve">Corporate payroll</t>
  </si>
  <si>
    <t xml:space="preserve">Facilities and occupancy</t>
  </si>
  <si>
    <t xml:space="preserve">Technology and communications</t>
  </si>
  <si>
    <t xml:space="preserve">Insurance</t>
  </si>
  <si>
    <t xml:space="preserve">Professional fees</t>
  </si>
  <si>
    <t xml:space="preserve">Travel and training</t>
  </si>
  <si>
    <t xml:space="preserve">Other operating expense</t>
  </si>
  <si>
    <t xml:space="preserve">Operating Expenses</t>
  </si>
  <si>
    <t xml:space="preserve">Reported EBITDA</t>
  </si>
  <si>
    <t xml:space="preserve">EBITDA Margin</t>
  </si>
  <si>
    <t xml:space="preserve">Nemeris Field Systems, LLC | Detailed Balance Sheet</t>
  </si>
  <si>
    <t xml:space="preserve">Management accounts | USD (whole dollars) | Unaudited | Source: borrower Monthly Financial Package, Balance Sheet tab</t>
  </si>
  <si>
    <t xml:space="preserve">CURRENT ASSETS</t>
  </si>
  <si>
    <t xml:space="preserve">Cash and cash equivalents</t>
  </si>
  <si>
    <t xml:space="preserve">Accounts receivable</t>
  </si>
  <si>
    <t xml:space="preserve">Inventory</t>
  </si>
  <si>
    <t xml:space="preserve">Prepaid and other current assets</t>
  </si>
  <si>
    <t xml:space="preserve">NON-CURRENT ASSETS</t>
  </si>
  <si>
    <t xml:space="preserve">Property and field equipment, net</t>
  </si>
  <si>
    <t xml:space="preserve">Capitalized software and other assets</t>
  </si>
  <si>
    <t xml:space="preserve">Total Assets</t>
  </si>
  <si>
    <t xml:space="preserve">LIABILITIES AND EQUITY</t>
  </si>
  <si>
    <t xml:space="preserve">Trade accounts payable</t>
  </si>
  <si>
    <t xml:space="preserve">Accrued field and vendor costs</t>
  </si>
  <si>
    <t xml:space="preserve">Senior secured term loan</t>
  </si>
  <si>
    <t xml:space="preserve">Total Liabilities</t>
  </si>
  <si>
    <t xml:space="preserve">Members' equity</t>
  </si>
  <si>
    <t xml:space="preserve">Total Liabilities and Equity</t>
  </si>
  <si>
    <t xml:space="preserve">Balance Check (Total Assets - Total Liabilities and Equity)</t>
  </si>
  <si>
    <t xml:space="preserve">DEBT &amp; LIQUIDITY (borrower-certified roll-forward; source: Debt &amp; Liquidity tab)</t>
  </si>
  <si>
    <t xml:space="preserve">Beginning Debt</t>
  </si>
  <si>
    <t xml:space="preserve">Draws</t>
  </si>
  <si>
    <t xml:space="preserve">PIK</t>
  </si>
  <si>
    <t xml:space="preserve">Scheduled Principal</t>
  </si>
  <si>
    <t xml:space="preserve">Ending Debt</t>
  </si>
  <si>
    <t xml:space="preserve">Cash</t>
  </si>
  <si>
    <t xml:space="preserve">Net Debt</t>
  </si>
  <si>
    <t xml:space="preserve">TTM Covenant EBITDA</t>
  </si>
  <si>
    <t xml:space="preserve">Net Leverage Ratio</t>
  </si>
  <si>
    <t xml:space="preserve">Maximum Covenant (Net Leverage Ratio)</t>
  </si>
  <si>
    <t xml:space="preserve">COVENANT-SUPPORT ROWS (facility Fixed-Charges inputs; source noted per row below)</t>
  </si>
  <si>
    <t xml:space="preserve">Cash Interest Expense</t>
  </si>
  <si>
    <t xml:space="preserve">Scheduled Debt Principal Payments</t>
  </si>
  <si>
    <t xml:space="preserve">Nemeris Field Systems, LLC | Detailed Cash Flow Statement (as reported)</t>
  </si>
  <si>
    <t xml:space="preserve">Management accounts | USD (whole dollars) | Unaudited | Source: borrower Monthly Financial Package, Cash Flow tab</t>
  </si>
  <si>
    <t xml:space="preserve">OPERATING ACTIVITIES</t>
  </si>
  <si>
    <t xml:space="preserve">Working capital and other operating uses</t>
  </si>
  <si>
    <t xml:space="preserve">Net cash from operating activities</t>
  </si>
  <si>
    <t xml:space="preserve">INVESTING ACTIVITIES</t>
  </si>
  <si>
    <t xml:space="preserve">Capital expenditures</t>
  </si>
  <si>
    <t xml:space="preserve">Net cash used in investing activities</t>
  </si>
  <si>
    <t xml:space="preserve">FINANCING ACTIVITIES</t>
  </si>
  <si>
    <t xml:space="preserve">Term loan draws</t>
  </si>
  <si>
    <t xml:space="preserve">Scheduled principal payments</t>
  </si>
  <si>
    <t xml:space="preserve">Net cash from financing activities</t>
  </si>
  <si>
    <t xml:space="preserve">Net change in cash</t>
  </si>
  <si>
    <t xml:space="preserve">Ending cash</t>
  </si>
  <si>
    <t xml:space="preserve">Memo: Cash per Balance Sheet</t>
  </si>
  <si>
    <t xml:space="preserve">Memo: CF-vs-BS cash tie (diff, should be 0)</t>
  </si>
  <si>
    <t xml:space="preserve">Memo: CF EBITDA vs IS EBITDA tie (diff, should be 0)</t>
  </si>
  <si>
    <t xml:space="preserve">Entity</t>
  </si>
  <si>
    <t xml:space="preserve">Nemeris Field Systems, LLC (consolidated) — the model does not identify separate divisional/subsidiary consolidation levels in the reporting package; single consolidated entity assumed per borrower-config model.entity='consolidated'.</t>
  </si>
  <si>
    <t xml:space="preserve">Units</t>
  </si>
  <si>
    <t xml:space="preserve">USD, whole dollars (model.scale = 1). Borrower's own package states 'Management accounts | USD | Unaudited'.</t>
  </si>
  <si>
    <t xml:space="preserve">Basis</t>
  </si>
  <si>
    <t xml:space="preserve">Actuals only — company-prepared monthly management accounts, unaudited. No proforma/budget/forecast figures are included.</t>
  </si>
  <si>
    <t xml:space="preserve">Coverage</t>
  </si>
  <si>
    <t xml:space="preserve">Apr 2024 through Jun 2026 (27 months), matching every monthly subfolder present in the reporting-packages folder (2024.04 through 2026.06, continuous, no gaps).</t>
  </si>
  <si>
    <t xml:space="preserve">Primary source file</t>
  </si>
  <si>
    <t xml:space="preserve">Every Income Statement / Balance Sheet / Cash Flow / Debt &amp; Liquidity figure in this model is sourced from the LATEST, most-consolidated reporting package: Monthly_Financial_Package_2026-06.xlsx. That single package's rolling ~30-month window (2024-01 through 2026-06) already spans the entire model range, so per the 'latest/most-consolidated source wins' rule it is the winning source for every month in this model.</t>
  </si>
  <si>
    <t xml:space="preserve">Restatement scan</t>
  </si>
  <si>
    <t xml:space="preserve">Full restatement scan performed: every one of the 26 earlier monthly packages (Monthly_Financial_Package_2024-04.xlsx through Monthly_Financial_Package_2026-05.xlsx) was compared, line-by-line, against the 2026-06 consolidated package's value for that same package's own reported month, across all four source tabs (Income Statement, Balance Sheet, Cash Flow, Debt &amp; Liquidity). Result: ZERO differences found at any line, any month (all diffs &lt; $0.01). This is consistent with the borrower's own 2026-06 Close Notes: 'First-and-final 2026-06 package; no restatement or basis change.' restatements.json is written empty (schema present, zero entries).</t>
  </si>
  <si>
    <t xml:space="preserve">Cash Flow</t>
  </si>
  <si>
    <t xml:space="preserve">As-reported from the borrower's own 'Cash Flow' tab (not derived) — the borrower delivers a full Operating/Investing/Financing cash flow every month. Reported EBITDA is the CF tab's own starting line (ties exactly to the Income Statement's Reported EBITDA every month — see the CF sheet's memo tie-out row). Ending cash for the first model month (Apr 2024) is hardcoded from source; every subsequent month is a live formula (prior Ending Cash + this month's Net Change in Cash) and ties to the Balance Sheet's Cash and cash equivalents line every month (see memo tie-out rows on the Cash Flow Statement sheet; both diffs compute to 0).</t>
  </si>
  <si>
    <t xml:space="preserve">Balance Sheet — no current subtotal</t>
  </si>
  <si>
    <t xml:space="preserve">The borrower's own Balance Sheet carries only 'CURRENT ASSETS' / 'NON-CURRENT ASSETS' section headers with no Total Current Assets / Total Current Liabilities subtotal rows. None are invented here, consistent with borrower-config's analysis_lines._omitted_note; current_ratio/working-capital ratios will be suppressed downstream with a disclosed reason.</t>
  </si>
  <si>
    <t xml:space="preserve">Balance Sheet FY/YTD columns</t>
  </si>
  <si>
    <t xml:space="preserve">Balance Sheet FY2024/FY2025/2026-YTD columns are PERIOD-END (spot) snapshots — the last month's value in that period, not a sum — for every BALANCE/stock-type row (Cash and cash equivalents through Total Liabilities and Equity, Balance Check, and — in the Debt &amp; Liquidity block below — Beginning Debt, Ending Debt, Cash, Net Debt, TTM Covenant EBITDA, Net Leverage Ratio, Maximum Covenant), consistent with balance-sheet convention. FLOW-type rows on the same Balance Sheet tab (Draws, PIK, Scheduled Principal in the Debt &amp; Liquidity block, and both covenant-support rows — Cash Interest Expense, Scheduled Debt Principal Payments) instead SUM over the period, like the Income Statement and Cash Flow Statement FY/YTD columns do, since a period total is what a Fixed-Charges-style coverage figure needs.</t>
  </si>
  <si>
    <t xml:space="preserve">No net income / interest / tax / D&amp;A line</t>
  </si>
  <si>
    <t xml:space="preserve">The borrower's monthly management accounts stop at 'Reported EBITDA' — no Net Income, Interest Expense, Tax, or Depreciation &amp; Amortization line appears anywhere in the package (Income Statement, Balance Sheet, or Cash Flow). None are invented here, consistent with borrower-config.json model_lines (net_income/interest_expense/taxes/depreciation_amortization left blank).</t>
  </si>
  <si>
    <t xml:space="preserve">No customer-level AR aging</t>
  </si>
  <si>
    <t xml:space="preserve">No customer-level accounts-receivable aging is delivered for this borrower (2026-06 Close Notes states this explicitly); only Inventory_Aging files are delivered monthly. This model carries the Balance Sheet's single 'Accounts receivable' line only.</t>
  </si>
  <si>
    <t xml:space="preserve">Inventory_and_Deployment_Support (2026-06)</t>
  </si>
  <si>
    <t xml:space="preserve">The extra file in the 2026.06 folder (Inventory_and_Deployment_Support_June_2026.xlsx) was reviewed: it is a supplementary inventory/ops detail and reconciliation file (Inventory Detail, Reconciliation, Review Notes tabs), not a core IS/BS/CF statement source. Its 'Reconciliation' tab ties its detailed net carrying value ($7,042,460.92) exactly to the June 2026 Balance Sheet's Inventory line — confirms BS integrity but was NOT used as a build input beyond that confirmation.</t>
  </si>
  <si>
    <t xml:space="preserve">EBITDA bridge</t>
  </si>
  <si>
    <t xml:space="preserve">Per covenant-spec.json#/definitions/Covenant_EBITDA, compute.ebitda_bridge = 'Reported EBITDA' — the model's own single pinned EBITDA row (Income Statement row: Net Revenue − Cost of Revenue − Operating Expenses), with NO add-back/adjustment lines on its face. The covenant spec confirms no deemed-EBITDA schedule exists in this agreement (full-text search of the credit agreement + First Amendment found no 'deemed'/'stipulated' EBITDA table). The EBITDA bridge used here is therefore NOT provisional — it is the spec-directed definition.</t>
  </si>
  <si>
    <t xml:space="preserve">Rejected EBITDA add-back (Q2 2026)</t>
  </si>
  <si>
    <t xml:space="preserve">covenant-spec.json notes an unsupported borrower-proposed EBITDA add-back of $110,000 (prospective/unfilled-position savings) at Q2 2026, rejected by the lender as not a 'specifically permitted, documented item.' This add-back was NEVER reflected in the borrower's monthly management accounts or in this model's Reported EBITDA line — it surfaced only in the compliance-certificate workpapers (original vs. corrected Q2 2026 covenant calculation), not in the monthly reporting package this model is built from. No adjustment was needed here.</t>
  </si>
  <si>
    <t xml:space="preserve">Debt &amp; Liquidity section (Balance Sheet, below the balance-check row)</t>
  </si>
  <si>
    <t xml:space="preserve">Reproduces the borrower's own 'Debt &amp; Liquidity' tab (Beginning Debt, Draws, PIK, Scheduled Principal, Ending Debt, Cash, Net Debt, TTM Covenant EBITDA, Net Leverage Ratio, Maximum Covenant) — a certified, self-consistent roll-forward that ties exactly to the June 2026 corrected compliance certificate (Ending Debt = Funded Debt $23,602,424.11; Cash = Unrestricted Cash $5,318,177.16; Net Debt $18,284,246.95; TTM Covenant EBITDA $13,861,947.33; Net Leverage Ratio 1.3190x — per covenant-spec.json step7_signoff). Per covenant-spec.json's Net_Debt definition note, this 'Net Debt' row is carried into the model as its own line because the covenant engine's primitive cannot express Funded Debt-minus-Cash as a formula directly. TTM Covenant EBITDA is computed as a live formula (trailing-12 SUM of the Income Statement's Reported EBITDA row) for every month from Mar 2025 onward, where the full trailing window sits inside this model; for Apr 2024 - Feb 2025 (trailing window reaches before this model's start), the source tab's own reported TTM figure is hardcoded instead.</t>
  </si>
  <si>
    <t xml:space="preserve">Predecessor debt / refinancing</t>
  </si>
  <si>
    <t xml:space="preserve">The Balance Sheet's 'Senior secured term loan' / Debt &amp; Liquidity roll-forward shows a CONTINUOUS balance and 0.60%/month declining-balance amortization from Apr 2024 (predecessor debt, ~$27.77M) through the credit agreement's Jan 15, 2025 closing, at which point the new facility funded at EXACTLY the predecessor's Dec-2024 payoff balance ($26,302,782.34 — matching debt-service-schedule.json's Jan-2025 beginning_balance/fundings). No gap or restatement in the balance; reported here as observed for full-detail fidelity.</t>
  </si>
  <si>
    <t xml:space="preserve">Covenant-support rows (below the Debt &amp; Liquidity section)</t>
  </si>
  <si>
    <t xml:space="preserve">'Cash Interest Expense' and 'Scheduled Debt Principal Payments' are the two rows debt-service-spec.json's covenant_support.rows names for Fixed-Charges-type covenant inputs. IMPORTANT CAVEAT carried from debt-service-spec.json's amortization_base.analyst_decision: the generated debt-service-schedule.json uses a flat-base amortization the engine supports (v1 has no declining-balance support), which does NOT match the borrower's certified 0.60%/month declining-balance amortization on the Debt &amp; Liquidity tab (e.g. schedule shows a flat $157,816.69/month; the borrower's actual June-2026 principal payment was $142,469.36). Per that analyst_decision: 'Scheduled Debt Principal Payments' is populated from the borrower's own certified Debt &amp; Liquidity tab 'Scheduled Principal' line (sign-flipped to a positive dollar amount), NOT from the schedule's principal figures. 'Cash Interest Expense' IS populated from debt-service-schedule.json's covenant_support.monthly[...].cash_interest, which the analyst accepted as a reasonable approximation — but flag: the SOFR observation behind it is a PLACEHOLDER, pinned at 4.33% for every month (no actual rate-notice document exists in the deal folder for any month; 'held_flat' basis beyond the one pinned observation). Both covenant-support rows are 0 for Apr 2024 - Dec 2024 (the predecessor-debt period, before this credit agreement's Jan 15, 2025 closing) — a contractual fact for THIS facility, not a blank.</t>
  </si>
  <si>
    <t xml:space="preserve">Materiality threshold (pinned)</t>
  </si>
  <si>
    <t xml:space="preserve">Restatement / tie-out materiality threshold: the greater of $25,000 or 1% of the line, per assembling-rules.md standard. (Not triggered this build — zero restatements found.)</t>
  </si>
  <si>
    <t xml:space="preserve">Validation</t>
  </si>
  <si>
    <t xml:space="preserve">Balance sheet balances every month (Balance Check row = 0). Income-statement subtotals foot (Net Revenue, Cost of Revenue, Gross Profit, Operating Expenses, Reported EBITDA all sum/derive correctly from detail lines). Cash Flow ties to both the Income Statement (EBITDA) and Balance Sheet (cash) by construction, confirmed via the sheet's own memo tie-out rows. Months tie to the source package's own printed FY2024/2025/2026 quarterly and annual figures (same underlying cells).</t>
  </si>
  <si>
    <t xml:space="preserve">Build tool / recalc</t>
  </si>
  <si>
    <t xml:space="preserve">Built with openpyxl; formula cells recalculated (cached values populated) via headless LibreOffice as the LAST write, per assembling-rules.md. Gated with references/validate_model.py before becoming canonical.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</si>
</sst>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,##0.00"/>
    <numFmt numFmtId="167" formatCode="0.0%"/>
    <numFmt numFmtId="168" formatCode="0.0000"/>
    <numFmt numFmtId="169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1" min="2" style="0" width="13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6" customFormat="false" ht="15" hidden="false" customHeight="false" outlineLevel="0" collapsed="false">
      <c r="A6" s="0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2" t="s">
        <v>30</v>
      </c>
      <c r="AD6" s="2" t="s">
        <v>31</v>
      </c>
      <c r="AE6" s="2" t="s">
        <v>32</v>
      </c>
    </row>
    <row r="7" customFormat="false" ht="15" hidden="false" customHeight="false" outlineLevel="0" collapsed="false">
      <c r="A7" s="2" t="s">
        <v>33</v>
      </c>
    </row>
    <row r="8" customFormat="false" ht="15" hidden="false" customHeight="false" outlineLevel="0" collapsed="false">
      <c r="A8" s="0" t="s">
        <v>34</v>
      </c>
      <c r="B8" s="3" t="n">
        <v>2764275.05</v>
      </c>
      <c r="C8" s="3" t="n">
        <v>2823977.13</v>
      </c>
      <c r="D8" s="3" t="n">
        <v>2897349.05</v>
      </c>
      <c r="E8" s="3" t="n">
        <v>2765556.25</v>
      </c>
      <c r="F8" s="3" t="n">
        <v>2728776.15</v>
      </c>
      <c r="G8" s="3" t="n">
        <v>2706531.7</v>
      </c>
      <c r="H8" s="3" t="n">
        <v>2871565.24</v>
      </c>
      <c r="I8" s="3" t="n">
        <v>3031042.2</v>
      </c>
      <c r="J8" s="3" t="n">
        <v>2605567.02</v>
      </c>
      <c r="K8" s="3" t="n">
        <v>2654133.57</v>
      </c>
      <c r="L8" s="3" t="n">
        <v>2741863.07</v>
      </c>
      <c r="M8" s="3" t="n">
        <v>2823483.11</v>
      </c>
      <c r="N8" s="3" t="n">
        <v>2842555.72</v>
      </c>
      <c r="O8" s="3" t="n">
        <v>2957367.97</v>
      </c>
      <c r="P8" s="3" t="n">
        <v>2958488.28</v>
      </c>
      <c r="Q8" s="3" t="n">
        <v>2927990.5</v>
      </c>
      <c r="R8" s="3" t="n">
        <v>2886796.77</v>
      </c>
      <c r="S8" s="3" t="n">
        <v>2882796.74</v>
      </c>
      <c r="T8" s="3" t="n">
        <v>2986376.11</v>
      </c>
      <c r="U8" s="3" t="n">
        <v>3014047.86</v>
      </c>
      <c r="V8" s="3" t="n">
        <v>2561831.79</v>
      </c>
      <c r="W8" s="3" t="n">
        <v>2752090.66</v>
      </c>
      <c r="X8" s="3" t="n">
        <v>2801861.16</v>
      </c>
      <c r="Y8" s="3" t="n">
        <v>2841937.96</v>
      </c>
      <c r="Z8" s="3" t="n">
        <v>2899738.68</v>
      </c>
      <c r="AA8" s="3" t="n">
        <v>2965665.52</v>
      </c>
      <c r="AB8" s="3" t="n">
        <v>2966717.47</v>
      </c>
      <c r="AC8" s="4" t="n">
        <f aca="false">SUM(B8:J8)</f>
        <v>25194639.79</v>
      </c>
      <c r="AD8" s="4" t="n">
        <f aca="false">SUM(K8:V8)</f>
        <v>34237731.49</v>
      </c>
      <c r="AE8" s="4" t="n">
        <f aca="false">SUM(W8:AB8)</f>
        <v>17228011.45</v>
      </c>
    </row>
    <row r="9" customFormat="false" ht="15" hidden="false" customHeight="false" outlineLevel="0" collapsed="false">
      <c r="A9" s="0" t="s">
        <v>35</v>
      </c>
      <c r="B9" s="3" t="n">
        <v>1783403.26</v>
      </c>
      <c r="C9" s="3" t="n">
        <v>1821920.73</v>
      </c>
      <c r="D9" s="3" t="n">
        <v>1869257.45</v>
      </c>
      <c r="E9" s="3" t="n">
        <v>1784229.84</v>
      </c>
      <c r="F9" s="3" t="n">
        <v>1760500.74</v>
      </c>
      <c r="G9" s="3" t="n">
        <v>1746149.49</v>
      </c>
      <c r="H9" s="3" t="n">
        <v>1852622.73</v>
      </c>
      <c r="I9" s="3" t="n">
        <v>1955511.1</v>
      </c>
      <c r="J9" s="3" t="n">
        <v>1681010.98</v>
      </c>
      <c r="K9" s="3" t="n">
        <v>1712344.24</v>
      </c>
      <c r="L9" s="3" t="n">
        <v>1768943.91</v>
      </c>
      <c r="M9" s="3" t="n">
        <v>1821602.01</v>
      </c>
      <c r="N9" s="3" t="n">
        <v>1833906.92</v>
      </c>
      <c r="O9" s="3" t="n">
        <v>1907979.33</v>
      </c>
      <c r="P9" s="3" t="n">
        <v>1908702.12</v>
      </c>
      <c r="Q9" s="3" t="n">
        <v>1889026.13</v>
      </c>
      <c r="R9" s="3" t="n">
        <v>1862449.53</v>
      </c>
      <c r="S9" s="3" t="n">
        <v>1859868.87</v>
      </c>
      <c r="T9" s="3" t="n">
        <v>1926694.27</v>
      </c>
      <c r="U9" s="3" t="n">
        <v>1944547.01</v>
      </c>
      <c r="V9" s="3" t="n">
        <v>1652794.7</v>
      </c>
      <c r="W9" s="3" t="n">
        <v>1775542.36</v>
      </c>
      <c r="X9" s="3" t="n">
        <v>1807652.36</v>
      </c>
      <c r="Y9" s="3" t="n">
        <v>1833508.36</v>
      </c>
      <c r="Z9" s="3" t="n">
        <v>1870799.15</v>
      </c>
      <c r="AA9" s="3" t="n">
        <v>1913332.59</v>
      </c>
      <c r="AB9" s="3" t="n">
        <v>1914011.27</v>
      </c>
      <c r="AC9" s="4" t="n">
        <f aca="false">SUM(B9:J9)</f>
        <v>16254606.32</v>
      </c>
      <c r="AD9" s="4" t="n">
        <f aca="false">SUM(K9:V9)</f>
        <v>22088859.04</v>
      </c>
      <c r="AE9" s="4" t="n">
        <f aca="false">SUM(W9:AB9)</f>
        <v>11114846.09</v>
      </c>
    </row>
    <row r="10" customFormat="false" ht="15" hidden="false" customHeight="false" outlineLevel="0" collapsed="false">
      <c r="A10" s="0" t="s">
        <v>36</v>
      </c>
      <c r="B10" s="3" t="n">
        <v>1515892.77</v>
      </c>
      <c r="C10" s="3" t="n">
        <v>1548632.62</v>
      </c>
      <c r="D10" s="3" t="n">
        <v>1588868.84</v>
      </c>
      <c r="E10" s="3" t="n">
        <v>1516595.36</v>
      </c>
      <c r="F10" s="3" t="n">
        <v>1496425.63</v>
      </c>
      <c r="G10" s="3" t="n">
        <v>1484227.06</v>
      </c>
      <c r="H10" s="3" t="n">
        <v>1574729.32</v>
      </c>
      <c r="I10" s="3" t="n">
        <v>1662184.43</v>
      </c>
      <c r="J10" s="3" t="n">
        <v>1428859.33</v>
      </c>
      <c r="K10" s="3" t="n">
        <v>1455492.6</v>
      </c>
      <c r="L10" s="3" t="n">
        <v>1503602.33</v>
      </c>
      <c r="M10" s="3" t="n">
        <v>1548361.71</v>
      </c>
      <c r="N10" s="3" t="n">
        <v>1558820.88</v>
      </c>
      <c r="O10" s="3" t="n">
        <v>1621782.43</v>
      </c>
      <c r="P10" s="3" t="n">
        <v>1622396.8</v>
      </c>
      <c r="Q10" s="3" t="n">
        <v>1605672.21</v>
      </c>
      <c r="R10" s="3" t="n">
        <v>1583082.1</v>
      </c>
      <c r="S10" s="3" t="n">
        <v>1580888.54</v>
      </c>
      <c r="T10" s="3" t="n">
        <v>1637690.13</v>
      </c>
      <c r="U10" s="3" t="n">
        <v>1652864.96</v>
      </c>
      <c r="V10" s="3" t="n">
        <v>1404875.5</v>
      </c>
      <c r="W10" s="3" t="n">
        <v>1509211.01</v>
      </c>
      <c r="X10" s="3" t="n">
        <v>1536504.51</v>
      </c>
      <c r="Y10" s="3" t="n">
        <v>1558482.11</v>
      </c>
      <c r="Z10" s="3" t="n">
        <v>1590179.28</v>
      </c>
      <c r="AA10" s="3" t="n">
        <v>1626332.7</v>
      </c>
      <c r="AB10" s="3" t="n">
        <v>1626909.58</v>
      </c>
      <c r="AC10" s="4" t="n">
        <f aca="false">SUM(B10:J10)</f>
        <v>13816415.36</v>
      </c>
      <c r="AD10" s="4" t="n">
        <f aca="false">SUM(K10:V10)</f>
        <v>18775530.19</v>
      </c>
      <c r="AE10" s="4" t="n">
        <f aca="false">SUM(W10:AB10)</f>
        <v>9447619.19</v>
      </c>
    </row>
    <row r="11" customFormat="false" ht="15" hidden="false" customHeight="false" outlineLevel="0" collapsed="false">
      <c r="A11" s="0" t="s">
        <v>37</v>
      </c>
      <c r="B11" s="3" t="n">
        <v>1337552.44</v>
      </c>
      <c r="C11" s="3" t="n">
        <v>1366440.55</v>
      </c>
      <c r="D11" s="3" t="n">
        <v>1401943.09</v>
      </c>
      <c r="E11" s="3" t="n">
        <v>1338172.38</v>
      </c>
      <c r="F11" s="3" t="n">
        <v>1320375.56</v>
      </c>
      <c r="G11" s="3" t="n">
        <v>1309612.11</v>
      </c>
      <c r="H11" s="3" t="n">
        <v>1389467.05</v>
      </c>
      <c r="I11" s="3" t="n">
        <v>1466633.32</v>
      </c>
      <c r="J11" s="3" t="n">
        <v>1260758.23</v>
      </c>
      <c r="K11" s="3" t="n">
        <v>1284258.18</v>
      </c>
      <c r="L11" s="3" t="n">
        <v>1326707.94</v>
      </c>
      <c r="M11" s="3" t="n">
        <v>1366201.5</v>
      </c>
      <c r="N11" s="3" t="n">
        <v>1375430.19</v>
      </c>
      <c r="O11" s="3" t="n">
        <v>1430984.5</v>
      </c>
      <c r="P11" s="3" t="n">
        <v>1431526.59</v>
      </c>
      <c r="Q11" s="3" t="n">
        <v>1416769.59</v>
      </c>
      <c r="R11" s="3" t="n">
        <v>1396837.15</v>
      </c>
      <c r="S11" s="3" t="n">
        <v>1394901.65</v>
      </c>
      <c r="T11" s="3" t="n">
        <v>1445020.7</v>
      </c>
      <c r="U11" s="3" t="n">
        <v>1458410.25</v>
      </c>
      <c r="V11" s="3" t="n">
        <v>1239596.03</v>
      </c>
      <c r="W11" s="3" t="n">
        <v>1331656.77</v>
      </c>
      <c r="X11" s="3" t="n">
        <v>1355739.27</v>
      </c>
      <c r="Y11" s="3" t="n">
        <v>1375131.27</v>
      </c>
      <c r="Z11" s="3" t="n">
        <v>1403099.36</v>
      </c>
      <c r="AA11" s="3" t="n">
        <v>1434999.44</v>
      </c>
      <c r="AB11" s="3" t="n">
        <v>1435508.45</v>
      </c>
      <c r="AC11" s="4" t="n">
        <f aca="false">SUM(B11:J11)</f>
        <v>12190954.73</v>
      </c>
      <c r="AD11" s="4" t="n">
        <f aca="false">SUM(K11:V11)</f>
        <v>16566644.27</v>
      </c>
      <c r="AE11" s="4" t="n">
        <f aca="false">SUM(W11:AB11)</f>
        <v>8336134.56</v>
      </c>
    </row>
    <row r="12" customFormat="false" ht="15" hidden="false" customHeight="false" outlineLevel="0" collapsed="false">
      <c r="A12" s="0" t="s">
        <v>38</v>
      </c>
      <c r="B12" s="3" t="n">
        <v>891701.63</v>
      </c>
      <c r="C12" s="3" t="n">
        <v>910960.36</v>
      </c>
      <c r="D12" s="3" t="n">
        <v>934628.73</v>
      </c>
      <c r="E12" s="3" t="n">
        <v>892114.92</v>
      </c>
      <c r="F12" s="3" t="n">
        <v>880250.37</v>
      </c>
      <c r="G12" s="3" t="n">
        <v>873074.74</v>
      </c>
      <c r="H12" s="3" t="n">
        <v>926311.37</v>
      </c>
      <c r="I12" s="3" t="n">
        <v>977755.55</v>
      </c>
      <c r="J12" s="3" t="n">
        <v>840505.49</v>
      </c>
      <c r="K12" s="3" t="n">
        <v>856172.12</v>
      </c>
      <c r="L12" s="3" t="n">
        <v>884471.96</v>
      </c>
      <c r="M12" s="3" t="n">
        <v>910801</v>
      </c>
      <c r="N12" s="3" t="n">
        <v>916953.46</v>
      </c>
      <c r="O12" s="3" t="n">
        <v>953989.67</v>
      </c>
      <c r="P12" s="3" t="n">
        <v>954351.06</v>
      </c>
      <c r="Q12" s="3" t="n">
        <v>944513.06</v>
      </c>
      <c r="R12" s="3" t="n">
        <v>931224.77</v>
      </c>
      <c r="S12" s="3" t="n">
        <v>929934.43</v>
      </c>
      <c r="T12" s="3" t="n">
        <v>963347.13</v>
      </c>
      <c r="U12" s="3" t="n">
        <v>972273.5</v>
      </c>
      <c r="V12" s="3" t="n">
        <v>826397.35</v>
      </c>
      <c r="W12" s="3" t="n">
        <v>887771.18</v>
      </c>
      <c r="X12" s="3" t="n">
        <v>903826.18</v>
      </c>
      <c r="Y12" s="3" t="n">
        <v>916754.18</v>
      </c>
      <c r="Z12" s="3" t="n">
        <v>935399.57</v>
      </c>
      <c r="AA12" s="3" t="n">
        <v>956666.3</v>
      </c>
      <c r="AB12" s="3" t="n">
        <v>957005.64</v>
      </c>
      <c r="AC12" s="4" t="n">
        <f aca="false">SUM(B12:J12)</f>
        <v>8127303.16</v>
      </c>
      <c r="AD12" s="4" t="n">
        <f aca="false">SUM(K12:V12)</f>
        <v>11044429.51</v>
      </c>
      <c r="AE12" s="4" t="n">
        <f aca="false">SUM(W12:AB12)</f>
        <v>5557423.05</v>
      </c>
    </row>
    <row r="13" customFormat="false" ht="15" hidden="false" customHeight="false" outlineLevel="0" collapsed="false">
      <c r="A13" s="0" t="s">
        <v>39</v>
      </c>
      <c r="B13" s="3" t="n">
        <v>624191.14</v>
      </c>
      <c r="C13" s="3" t="n">
        <v>637672.25</v>
      </c>
      <c r="D13" s="3" t="n">
        <v>654240.11</v>
      </c>
      <c r="E13" s="3" t="n">
        <v>624480.44</v>
      </c>
      <c r="F13" s="3" t="n">
        <v>616175.25</v>
      </c>
      <c r="G13" s="3" t="n">
        <v>611152.33</v>
      </c>
      <c r="H13" s="3" t="n">
        <v>648417.96</v>
      </c>
      <c r="I13" s="3" t="n">
        <v>684428.89</v>
      </c>
      <c r="J13" s="3" t="n">
        <v>588353.84</v>
      </c>
      <c r="K13" s="3" t="n">
        <v>599320.48</v>
      </c>
      <c r="L13" s="3" t="n">
        <v>619130.36</v>
      </c>
      <c r="M13" s="3" t="n">
        <v>637560.7</v>
      </c>
      <c r="N13" s="3" t="n">
        <v>641867.41</v>
      </c>
      <c r="O13" s="3" t="n">
        <v>667792.77</v>
      </c>
      <c r="P13" s="3" t="n">
        <v>668045.74</v>
      </c>
      <c r="Q13" s="3" t="n">
        <v>661159.14</v>
      </c>
      <c r="R13" s="3" t="n">
        <v>651857.34</v>
      </c>
      <c r="S13" s="3" t="n">
        <v>650954.1</v>
      </c>
      <c r="T13" s="3" t="n">
        <v>674342.99</v>
      </c>
      <c r="U13" s="3" t="n">
        <v>680591.45</v>
      </c>
      <c r="V13" s="3" t="n">
        <v>578478.15</v>
      </c>
      <c r="W13" s="3" t="n">
        <v>621439.83</v>
      </c>
      <c r="X13" s="3" t="n">
        <v>632678.33</v>
      </c>
      <c r="Y13" s="3" t="n">
        <v>641727.92</v>
      </c>
      <c r="Z13" s="3" t="n">
        <v>654779.7</v>
      </c>
      <c r="AA13" s="3" t="n">
        <v>669666.41</v>
      </c>
      <c r="AB13" s="3" t="n">
        <v>669903.95</v>
      </c>
      <c r="AC13" s="4" t="n">
        <f aca="false">SUM(B13:J13)</f>
        <v>5689112.21</v>
      </c>
      <c r="AD13" s="4" t="n">
        <f aca="false">SUM(K13:V13)</f>
        <v>7731100.63</v>
      </c>
      <c r="AE13" s="4" t="n">
        <f aca="false">SUM(W13:AB13)</f>
        <v>3890196.14</v>
      </c>
    </row>
    <row r="14" customFormat="false" ht="15" hidden="false" customHeight="false" outlineLevel="0" collapsed="false">
      <c r="A14" s="2" t="s">
        <v>40</v>
      </c>
      <c r="B14" s="4" t="n">
        <f aca="false">SUM(B8:B13)</f>
        <v>8917016.29</v>
      </c>
      <c r="C14" s="4" t="n">
        <f aca="false">SUM(C8:C13)</f>
        <v>9109603.64</v>
      </c>
      <c r="D14" s="4" t="n">
        <f aca="false">SUM(D8:D13)</f>
        <v>9346287.27</v>
      </c>
      <c r="E14" s="4" t="n">
        <f aca="false">SUM(E8:E13)</f>
        <v>8921149.19</v>
      </c>
      <c r="F14" s="4" t="n">
        <f aca="false">SUM(F8:F13)</f>
        <v>8802503.7</v>
      </c>
      <c r="G14" s="4" t="n">
        <f aca="false">SUM(G8:G13)</f>
        <v>8730747.43</v>
      </c>
      <c r="H14" s="4" t="n">
        <f aca="false">SUM(H8:H13)</f>
        <v>9263113.67</v>
      </c>
      <c r="I14" s="4" t="n">
        <f aca="false">SUM(I8:I13)</f>
        <v>9777555.49</v>
      </c>
      <c r="J14" s="4" t="n">
        <f aca="false">SUM(J8:J13)</f>
        <v>8405054.89</v>
      </c>
      <c r="K14" s="4" t="n">
        <f aca="false">SUM(K8:K13)</f>
        <v>8561721.19</v>
      </c>
      <c r="L14" s="4" t="n">
        <f aca="false">SUM(L8:L13)</f>
        <v>8844719.57</v>
      </c>
      <c r="M14" s="4" t="n">
        <f aca="false">SUM(M8:M13)</f>
        <v>9108010.03</v>
      </c>
      <c r="N14" s="4" t="n">
        <f aca="false">SUM(N8:N13)</f>
        <v>9169534.58</v>
      </c>
      <c r="O14" s="4" t="n">
        <f aca="false">SUM(O8:O13)</f>
        <v>9539896.67</v>
      </c>
      <c r="P14" s="4" t="n">
        <f aca="false">SUM(P8:P13)</f>
        <v>9543510.59</v>
      </c>
      <c r="Q14" s="4" t="n">
        <f aca="false">SUM(Q8:Q13)</f>
        <v>9445130.63</v>
      </c>
      <c r="R14" s="4" t="n">
        <f aca="false">SUM(R8:R13)</f>
        <v>9312247.66</v>
      </c>
      <c r="S14" s="4" t="n">
        <f aca="false">SUM(S8:S13)</f>
        <v>9299344.33</v>
      </c>
      <c r="T14" s="4" t="n">
        <f aca="false">SUM(T8:T13)</f>
        <v>9633471.33</v>
      </c>
      <c r="U14" s="4" t="n">
        <f aca="false">SUM(U8:U13)</f>
        <v>9722735.03</v>
      </c>
      <c r="V14" s="4" t="n">
        <f aca="false">SUM(V8:V13)</f>
        <v>8263973.52</v>
      </c>
      <c r="W14" s="4" t="n">
        <f aca="false">SUM(W8:W13)</f>
        <v>8877711.81</v>
      </c>
      <c r="X14" s="4" t="n">
        <f aca="false">SUM(X8:X13)</f>
        <v>9038261.81</v>
      </c>
      <c r="Y14" s="4" t="n">
        <f aca="false">SUM(Y8:Y13)</f>
        <v>9167541.8</v>
      </c>
      <c r="Z14" s="4" t="n">
        <f aca="false">SUM(Z8:Z13)</f>
        <v>9353995.74</v>
      </c>
      <c r="AA14" s="4" t="n">
        <f aca="false">SUM(AA8:AA13)</f>
        <v>9566662.96</v>
      </c>
      <c r="AB14" s="4" t="n">
        <f aca="false">SUM(AB8:AB13)</f>
        <v>9570056.36</v>
      </c>
      <c r="AC14" s="4" t="n">
        <f aca="false">SUM(B14:J14)</f>
        <v>81273031.57</v>
      </c>
      <c r="AD14" s="4" t="n">
        <f aca="false">SUM(K14:V14)</f>
        <v>110444295.13</v>
      </c>
      <c r="AE14" s="4" t="n">
        <f aca="false">SUM(W14:AB14)</f>
        <v>55574230.48</v>
      </c>
    </row>
    <row r="16" customFormat="false" ht="15" hidden="false" customHeight="false" outlineLevel="0" collapsed="false">
      <c r="A16" s="2" t="s">
        <v>41</v>
      </c>
    </row>
    <row r="17" customFormat="false" ht="15" hidden="false" customHeight="false" outlineLevel="0" collapsed="false">
      <c r="A17" s="0" t="s">
        <v>42</v>
      </c>
      <c r="B17" s="3" t="n">
        <v>1870600.87</v>
      </c>
      <c r="C17" s="3" t="n">
        <v>1855166.18</v>
      </c>
      <c r="D17" s="3" t="n">
        <v>1898825.71</v>
      </c>
      <c r="E17" s="3" t="n">
        <v>1852463.11</v>
      </c>
      <c r="F17" s="3" t="n">
        <v>1760714.13</v>
      </c>
      <c r="G17" s="3" t="n">
        <v>1782906.82</v>
      </c>
      <c r="H17" s="3" t="n">
        <v>1901661.1</v>
      </c>
      <c r="I17" s="3" t="n">
        <v>2010927.12</v>
      </c>
      <c r="J17" s="3" t="n">
        <v>1761317.46</v>
      </c>
      <c r="K17" s="3" t="n">
        <v>1766948.99</v>
      </c>
      <c r="L17" s="3" t="n">
        <v>1800561.55</v>
      </c>
      <c r="M17" s="3" t="n">
        <v>1816716.8</v>
      </c>
      <c r="N17" s="3" t="n">
        <v>1883820.68</v>
      </c>
      <c r="O17" s="3" t="n">
        <v>1955987.18</v>
      </c>
      <c r="P17" s="3" t="n">
        <v>1892883.03</v>
      </c>
      <c r="Q17" s="3" t="n">
        <v>1922437.08</v>
      </c>
      <c r="R17" s="3" t="n">
        <v>1938894.62</v>
      </c>
      <c r="S17" s="3" t="n">
        <v>1886855.75</v>
      </c>
      <c r="T17" s="3" t="n">
        <v>1970492.5</v>
      </c>
      <c r="U17" s="3" t="n">
        <v>2031265.95</v>
      </c>
      <c r="V17" s="3" t="n">
        <v>1683262.89</v>
      </c>
      <c r="W17" s="3" t="n">
        <v>1826853.74</v>
      </c>
      <c r="X17" s="3" t="n">
        <v>1876781.37</v>
      </c>
      <c r="Y17" s="3" t="n">
        <v>1870391.51</v>
      </c>
      <c r="Z17" s="3" t="n">
        <v>1880115.35</v>
      </c>
      <c r="AA17" s="3" t="n">
        <v>1947530.99</v>
      </c>
      <c r="AB17" s="3" t="n">
        <v>1949652.48</v>
      </c>
      <c r="AC17" s="4" t="n">
        <f aca="false">SUM(B17:J17)</f>
        <v>16694582.5</v>
      </c>
      <c r="AD17" s="4" t="n">
        <f aca="false">SUM(K17:V17)</f>
        <v>22550127.02</v>
      </c>
      <c r="AE17" s="4" t="n">
        <f aca="false">SUM(W17:AB17)</f>
        <v>11351325.44</v>
      </c>
    </row>
    <row r="18" customFormat="false" ht="15" hidden="false" customHeight="false" outlineLevel="0" collapsed="false">
      <c r="A18" s="0" t="s">
        <v>43</v>
      </c>
      <c r="B18" s="3" t="n">
        <v>1112249.16</v>
      </c>
      <c r="C18" s="3" t="n">
        <v>1103071.78</v>
      </c>
      <c r="D18" s="3" t="n">
        <v>1129031.5</v>
      </c>
      <c r="E18" s="3" t="n">
        <v>1101464.55</v>
      </c>
      <c r="F18" s="3" t="n">
        <v>1046911.11</v>
      </c>
      <c r="G18" s="3" t="n">
        <v>1060106.76</v>
      </c>
      <c r="H18" s="3" t="n">
        <v>1130717.41</v>
      </c>
      <c r="I18" s="3" t="n">
        <v>1195686.4</v>
      </c>
      <c r="J18" s="3" t="n">
        <v>1047269.84</v>
      </c>
      <c r="K18" s="3" t="n">
        <v>1050618.32</v>
      </c>
      <c r="L18" s="3" t="n">
        <v>1070604.17</v>
      </c>
      <c r="M18" s="3" t="n">
        <v>1080209.99</v>
      </c>
      <c r="N18" s="3" t="n">
        <v>1120109.59</v>
      </c>
      <c r="O18" s="3" t="n">
        <v>1163019.4</v>
      </c>
      <c r="P18" s="3" t="n">
        <v>1125498.02</v>
      </c>
      <c r="Q18" s="3" t="n">
        <v>1143070.7</v>
      </c>
      <c r="R18" s="3" t="n">
        <v>1152856.26</v>
      </c>
      <c r="S18" s="3" t="n">
        <v>1121914.23</v>
      </c>
      <c r="T18" s="3" t="n">
        <v>1171644.19</v>
      </c>
      <c r="U18" s="3" t="n">
        <v>1207779.75</v>
      </c>
      <c r="V18" s="3" t="n">
        <v>1000859.02</v>
      </c>
      <c r="W18" s="3" t="n">
        <v>1086237.36</v>
      </c>
      <c r="X18" s="3" t="n">
        <v>1115924.06</v>
      </c>
      <c r="Y18" s="3" t="n">
        <v>1112124.68</v>
      </c>
      <c r="Z18" s="3" t="n">
        <v>1117906.42</v>
      </c>
      <c r="AA18" s="3" t="n">
        <v>1157991.4</v>
      </c>
      <c r="AB18" s="3" t="n">
        <v>1159252.83</v>
      </c>
      <c r="AC18" s="4" t="n">
        <f aca="false">SUM(B18:J18)</f>
        <v>9926508.51</v>
      </c>
      <c r="AD18" s="4" t="n">
        <f aca="false">SUM(K18:V18)</f>
        <v>13408183.64</v>
      </c>
      <c r="AE18" s="4" t="n">
        <f aca="false">SUM(W18:AB18)</f>
        <v>6749436.75</v>
      </c>
    </row>
    <row r="19" customFormat="false" ht="15" hidden="false" customHeight="false" outlineLevel="0" collapsed="false">
      <c r="A19" s="0" t="s">
        <v>44</v>
      </c>
      <c r="B19" s="3" t="n">
        <v>530846.19</v>
      </c>
      <c r="C19" s="3" t="n">
        <v>526466.08</v>
      </c>
      <c r="D19" s="3" t="n">
        <v>538855.94</v>
      </c>
      <c r="E19" s="3" t="n">
        <v>525698.99</v>
      </c>
      <c r="F19" s="3" t="n">
        <v>499662.12</v>
      </c>
      <c r="G19" s="3" t="n">
        <v>505960.04</v>
      </c>
      <c r="H19" s="3" t="n">
        <v>539660.58</v>
      </c>
      <c r="I19" s="3" t="n">
        <v>570668.51</v>
      </c>
      <c r="J19" s="3" t="n">
        <v>499833.33</v>
      </c>
      <c r="K19" s="3" t="n">
        <v>501431.47</v>
      </c>
      <c r="L19" s="3" t="n">
        <v>510970.17</v>
      </c>
      <c r="M19" s="3" t="n">
        <v>515554.77</v>
      </c>
      <c r="N19" s="3" t="n">
        <v>534597.76</v>
      </c>
      <c r="O19" s="3" t="n">
        <v>555077.44</v>
      </c>
      <c r="P19" s="3" t="n">
        <v>537169.51</v>
      </c>
      <c r="Q19" s="3" t="n">
        <v>545556.47</v>
      </c>
      <c r="R19" s="3" t="n">
        <v>550226.85</v>
      </c>
      <c r="S19" s="3" t="n">
        <v>535459.06</v>
      </c>
      <c r="T19" s="3" t="n">
        <v>559193.82</v>
      </c>
      <c r="U19" s="3" t="n">
        <v>576440.34</v>
      </c>
      <c r="V19" s="3" t="n">
        <v>477682.71</v>
      </c>
      <c r="W19" s="3" t="n">
        <v>518431.47</v>
      </c>
      <c r="X19" s="3" t="n">
        <v>532600.12</v>
      </c>
      <c r="Y19" s="3" t="n">
        <v>530786.78</v>
      </c>
      <c r="Z19" s="3" t="n">
        <v>533546.25</v>
      </c>
      <c r="AA19" s="3" t="n">
        <v>552677.71</v>
      </c>
      <c r="AB19" s="3" t="n">
        <v>553279.76</v>
      </c>
      <c r="AC19" s="4" t="n">
        <f aca="false">SUM(B19:J19)</f>
        <v>4737651.78</v>
      </c>
      <c r="AD19" s="4" t="n">
        <f aca="false">SUM(K19:V19)</f>
        <v>6399360.37</v>
      </c>
      <c r="AE19" s="4" t="n">
        <f aca="false">SUM(W19:AB19)</f>
        <v>3221322.09</v>
      </c>
    </row>
    <row r="20" customFormat="false" ht="15" hidden="false" customHeight="false" outlineLevel="0" collapsed="false">
      <c r="A20" s="0" t="s">
        <v>45</v>
      </c>
      <c r="B20" s="3" t="n">
        <v>429732.63</v>
      </c>
      <c r="C20" s="3" t="n">
        <v>426186.82</v>
      </c>
      <c r="D20" s="3" t="n">
        <v>436216.72</v>
      </c>
      <c r="E20" s="3" t="n">
        <v>425565.85</v>
      </c>
      <c r="F20" s="3" t="n">
        <v>404488.38</v>
      </c>
      <c r="G20" s="3" t="n">
        <v>409586.7</v>
      </c>
      <c r="H20" s="3" t="n">
        <v>436868.09</v>
      </c>
      <c r="I20" s="3" t="n">
        <v>461969.74</v>
      </c>
      <c r="J20" s="3" t="n">
        <v>404626.98</v>
      </c>
      <c r="K20" s="3" t="n">
        <v>405920.71</v>
      </c>
      <c r="L20" s="3" t="n">
        <v>413642.52</v>
      </c>
      <c r="M20" s="3" t="n">
        <v>417353.86</v>
      </c>
      <c r="N20" s="3" t="n">
        <v>432769.61</v>
      </c>
      <c r="O20" s="3" t="n">
        <v>449348.41</v>
      </c>
      <c r="P20" s="3" t="n">
        <v>434851.51</v>
      </c>
      <c r="Q20" s="3" t="n">
        <v>441640.95</v>
      </c>
      <c r="R20" s="3" t="n">
        <v>445421.74</v>
      </c>
      <c r="S20" s="3" t="n">
        <v>433466.86</v>
      </c>
      <c r="T20" s="3" t="n">
        <v>452680.71</v>
      </c>
      <c r="U20" s="3" t="n">
        <v>466642.18</v>
      </c>
      <c r="V20" s="3" t="n">
        <v>386695.53</v>
      </c>
      <c r="W20" s="3" t="n">
        <v>419682.62</v>
      </c>
      <c r="X20" s="3" t="n">
        <v>431152.48</v>
      </c>
      <c r="Y20" s="3" t="n">
        <v>429684.54</v>
      </c>
      <c r="Z20" s="3" t="n">
        <v>431918.39</v>
      </c>
      <c r="AA20" s="3" t="n">
        <v>447405.77</v>
      </c>
      <c r="AB20" s="3" t="n">
        <v>447893.14</v>
      </c>
      <c r="AC20" s="4" t="n">
        <f aca="false">SUM(B20:J20)</f>
        <v>3835241.91</v>
      </c>
      <c r="AD20" s="4" t="n">
        <f aca="false">SUM(K20:V20)</f>
        <v>5180434.59</v>
      </c>
      <c r="AE20" s="4" t="n">
        <f aca="false">SUM(W20:AB20)</f>
        <v>2607736.94</v>
      </c>
    </row>
    <row r="21" customFormat="false" ht="15" hidden="false" customHeight="false" outlineLevel="0" collapsed="false">
      <c r="A21" s="0" t="s">
        <v>46</v>
      </c>
      <c r="B21" s="3" t="n">
        <v>581402.97</v>
      </c>
      <c r="C21" s="3" t="n">
        <v>576605.7</v>
      </c>
      <c r="D21" s="3" t="n">
        <v>590175.56</v>
      </c>
      <c r="E21" s="3" t="n">
        <v>575765.56</v>
      </c>
      <c r="F21" s="3" t="n">
        <v>547248.99</v>
      </c>
      <c r="G21" s="3" t="n">
        <v>554146.71</v>
      </c>
      <c r="H21" s="3" t="n">
        <v>591056.83</v>
      </c>
      <c r="I21" s="3" t="n">
        <v>625017.89</v>
      </c>
      <c r="J21" s="3" t="n">
        <v>547436.51</v>
      </c>
      <c r="K21" s="3" t="n">
        <v>549186.85</v>
      </c>
      <c r="L21" s="3" t="n">
        <v>559634</v>
      </c>
      <c r="M21" s="3" t="n">
        <v>564655.22</v>
      </c>
      <c r="N21" s="3" t="n">
        <v>585511.83</v>
      </c>
      <c r="O21" s="3" t="n">
        <v>607941.96</v>
      </c>
      <c r="P21" s="3" t="n">
        <v>588328.51</v>
      </c>
      <c r="Q21" s="3" t="n">
        <v>597514.23</v>
      </c>
      <c r="R21" s="3" t="n">
        <v>602629.41</v>
      </c>
      <c r="S21" s="3" t="n">
        <v>586455.17</v>
      </c>
      <c r="T21" s="3" t="n">
        <v>612450.37</v>
      </c>
      <c r="U21" s="3" t="n">
        <v>631339.42</v>
      </c>
      <c r="V21" s="3" t="n">
        <v>523176.3</v>
      </c>
      <c r="W21" s="3" t="n">
        <v>567805.89</v>
      </c>
      <c r="X21" s="3" t="n">
        <v>583323.94</v>
      </c>
      <c r="Y21" s="3" t="n">
        <v>581337.9</v>
      </c>
      <c r="Z21" s="3" t="n">
        <v>584360.18</v>
      </c>
      <c r="AA21" s="3" t="n">
        <v>605313.69</v>
      </c>
      <c r="AB21" s="3" t="n">
        <v>605973.07</v>
      </c>
      <c r="AC21" s="4" t="n">
        <f aca="false">SUM(B21:J21)</f>
        <v>5188856.72</v>
      </c>
      <c r="AD21" s="4" t="n">
        <f aca="false">SUM(K21:V21)</f>
        <v>7008823.27</v>
      </c>
      <c r="AE21" s="4" t="n">
        <f aca="false">SUM(W21:AB21)</f>
        <v>3528114.67</v>
      </c>
    </row>
    <row r="22" customFormat="false" ht="15" hidden="false" customHeight="false" outlineLevel="0" collapsed="false">
      <c r="A22" s="0" t="s">
        <v>47</v>
      </c>
      <c r="B22" s="3" t="n">
        <v>480289.42</v>
      </c>
      <c r="C22" s="3" t="n">
        <v>476326.46</v>
      </c>
      <c r="D22" s="3" t="n">
        <v>487536.33</v>
      </c>
      <c r="E22" s="3" t="n">
        <v>475632.43</v>
      </c>
      <c r="F22" s="3" t="n">
        <v>452075.25</v>
      </c>
      <c r="G22" s="3" t="n">
        <v>457773.37</v>
      </c>
      <c r="H22" s="3" t="n">
        <v>488264.33</v>
      </c>
      <c r="I22" s="3" t="n">
        <v>516319.13</v>
      </c>
      <c r="J22" s="3" t="n">
        <v>452230.16</v>
      </c>
      <c r="K22" s="3" t="n">
        <v>453676.1</v>
      </c>
      <c r="L22" s="3" t="n">
        <v>462306.34</v>
      </c>
      <c r="M22" s="3" t="n">
        <v>466454.31</v>
      </c>
      <c r="N22" s="3" t="n">
        <v>483683.69</v>
      </c>
      <c r="O22" s="3" t="n">
        <v>502212.92</v>
      </c>
      <c r="P22" s="3" t="n">
        <v>486010.49</v>
      </c>
      <c r="Q22" s="3" t="n">
        <v>493598.71</v>
      </c>
      <c r="R22" s="3" t="n">
        <v>497824.29</v>
      </c>
      <c r="S22" s="3" t="n">
        <v>484462.97</v>
      </c>
      <c r="T22" s="3" t="n">
        <v>505937.27</v>
      </c>
      <c r="U22" s="3" t="n">
        <v>521541.24</v>
      </c>
      <c r="V22" s="3" t="n">
        <v>432189.12</v>
      </c>
      <c r="W22" s="3" t="n">
        <v>469057.04</v>
      </c>
      <c r="X22" s="3" t="n">
        <v>481876.29</v>
      </c>
      <c r="Y22" s="3" t="n">
        <v>480235.66</v>
      </c>
      <c r="Z22" s="3" t="n">
        <v>482732.32</v>
      </c>
      <c r="AA22" s="3" t="n">
        <v>500041.75</v>
      </c>
      <c r="AB22" s="3" t="n">
        <v>500586.44</v>
      </c>
      <c r="AC22" s="4" t="n">
        <f aca="false">SUM(B22:J22)</f>
        <v>4286446.88</v>
      </c>
      <c r="AD22" s="4" t="n">
        <f aca="false">SUM(K22:V22)</f>
        <v>5789897.45</v>
      </c>
      <c r="AE22" s="4" t="n">
        <f aca="false">SUM(W22:AB22)</f>
        <v>2914529.5</v>
      </c>
    </row>
    <row r="23" customFormat="false" ht="15" hidden="false" customHeight="false" outlineLevel="0" collapsed="false">
      <c r="A23" s="2" t="s">
        <v>48</v>
      </c>
      <c r="B23" s="4" t="n">
        <f aca="false">SUM(B17:B22)</f>
        <v>5005121.24</v>
      </c>
      <c r="C23" s="4" t="n">
        <f aca="false">SUM(C17:C22)</f>
        <v>4963823.02</v>
      </c>
      <c r="D23" s="4" t="n">
        <f aca="false">SUM(D17:D22)</f>
        <v>5080641.76</v>
      </c>
      <c r="E23" s="4" t="n">
        <f aca="false">SUM(E17:E22)</f>
        <v>4956590.49</v>
      </c>
      <c r="F23" s="4" t="n">
        <f aca="false">SUM(F17:F22)</f>
        <v>4711099.98</v>
      </c>
      <c r="G23" s="4" t="n">
        <f aca="false">SUM(G17:G22)</f>
        <v>4770480.4</v>
      </c>
      <c r="H23" s="4" t="n">
        <f aca="false">SUM(H17:H22)</f>
        <v>5088228.34</v>
      </c>
      <c r="I23" s="4" t="n">
        <f aca="false">SUM(I17:I22)</f>
        <v>5380588.79</v>
      </c>
      <c r="J23" s="4" t="n">
        <f aca="false">SUM(J17:J22)</f>
        <v>4712714.28</v>
      </c>
      <c r="K23" s="4" t="n">
        <f aca="false">SUM(K17:K22)</f>
        <v>4727782.44</v>
      </c>
      <c r="L23" s="4" t="n">
        <f aca="false">SUM(L17:L22)</f>
        <v>4817718.75</v>
      </c>
      <c r="M23" s="4" t="n">
        <f aca="false">SUM(M17:M22)</f>
        <v>4860944.95</v>
      </c>
      <c r="N23" s="4" t="n">
        <f aca="false">SUM(N17:N22)</f>
        <v>5040493.16</v>
      </c>
      <c r="O23" s="4" t="n">
        <f aca="false">SUM(O17:O22)</f>
        <v>5233587.31</v>
      </c>
      <c r="P23" s="4" t="n">
        <f aca="false">SUM(P17:P22)</f>
        <v>5064741.07</v>
      </c>
      <c r="Q23" s="4" t="n">
        <f aca="false">SUM(Q17:Q22)</f>
        <v>5143818.14</v>
      </c>
      <c r="R23" s="4" t="n">
        <f aca="false">SUM(R17:R22)</f>
        <v>5187853.17</v>
      </c>
      <c r="S23" s="4" t="n">
        <f aca="false">SUM(S17:S22)</f>
        <v>5048614.04</v>
      </c>
      <c r="T23" s="4" t="n">
        <f aca="false">SUM(T17:T22)</f>
        <v>5272398.86</v>
      </c>
      <c r="U23" s="4" t="n">
        <f aca="false">SUM(U17:U22)</f>
        <v>5435008.88</v>
      </c>
      <c r="V23" s="4" t="n">
        <f aca="false">SUM(V17:V22)</f>
        <v>4503865.57</v>
      </c>
      <c r="W23" s="4" t="n">
        <f aca="false">SUM(W17:W22)</f>
        <v>4888068.12</v>
      </c>
      <c r="X23" s="4" t="n">
        <f aca="false">SUM(X17:X22)</f>
        <v>5021658.26</v>
      </c>
      <c r="Y23" s="4" t="n">
        <f aca="false">SUM(Y17:Y22)</f>
        <v>5004561.07</v>
      </c>
      <c r="Z23" s="4" t="n">
        <f aca="false">SUM(Z17:Z22)</f>
        <v>5030578.91</v>
      </c>
      <c r="AA23" s="4" t="n">
        <f aca="false">SUM(AA17:AA22)</f>
        <v>5210961.31</v>
      </c>
      <c r="AB23" s="4" t="n">
        <f aca="false">SUM(AB17:AB22)</f>
        <v>5216637.72</v>
      </c>
      <c r="AC23" s="4" t="n">
        <f aca="false">SUM(B23:J23)</f>
        <v>44669288.3</v>
      </c>
      <c r="AD23" s="4" t="n">
        <f aca="false">SUM(K23:V23)</f>
        <v>60336826.34</v>
      </c>
      <c r="AE23" s="4" t="n">
        <f aca="false">SUM(W23:AB23)</f>
        <v>30372465.39</v>
      </c>
    </row>
    <row r="24" customFormat="false" ht="15" hidden="false" customHeight="false" outlineLevel="0" collapsed="false">
      <c r="A24" s="2" t="s">
        <v>49</v>
      </c>
      <c r="B24" s="4" t="n">
        <f aca="false">B14-B23</f>
        <v>3911895.05</v>
      </c>
      <c r="C24" s="4" t="n">
        <f aca="false">C14-C23</f>
        <v>4145780.62</v>
      </c>
      <c r="D24" s="4" t="n">
        <f aca="false">D14-D23</f>
        <v>4265645.51</v>
      </c>
      <c r="E24" s="4" t="n">
        <f aca="false">E14-E23</f>
        <v>3964558.7</v>
      </c>
      <c r="F24" s="4" t="n">
        <f aca="false">F14-F23</f>
        <v>4091403.72</v>
      </c>
      <c r="G24" s="4" t="n">
        <f aca="false">G14-G23</f>
        <v>3960267.03</v>
      </c>
      <c r="H24" s="4" t="n">
        <f aca="false">H14-H23</f>
        <v>4174885.33</v>
      </c>
      <c r="I24" s="4" t="n">
        <f aca="false">I14-I23</f>
        <v>4396966.7</v>
      </c>
      <c r="J24" s="4" t="n">
        <f aca="false">J14-J23</f>
        <v>3692340.61</v>
      </c>
      <c r="K24" s="4" t="n">
        <f aca="false">K14-K23</f>
        <v>3833938.75</v>
      </c>
      <c r="L24" s="4" t="n">
        <f aca="false">L14-L23</f>
        <v>4027000.82</v>
      </c>
      <c r="M24" s="4" t="n">
        <f aca="false">M14-M23</f>
        <v>4247065.08</v>
      </c>
      <c r="N24" s="4" t="n">
        <f aca="false">N14-N23</f>
        <v>4129041.42</v>
      </c>
      <c r="O24" s="4" t="n">
        <f aca="false">O14-O23</f>
        <v>4306309.36</v>
      </c>
      <c r="P24" s="4" t="n">
        <f aca="false">P14-P23</f>
        <v>4478769.52</v>
      </c>
      <c r="Q24" s="4" t="n">
        <f aca="false">Q14-Q23</f>
        <v>4301312.49</v>
      </c>
      <c r="R24" s="4" t="n">
        <f aca="false">R14-R23</f>
        <v>4124394.49</v>
      </c>
      <c r="S24" s="4" t="n">
        <f aca="false">S14-S23</f>
        <v>4250730.29</v>
      </c>
      <c r="T24" s="4" t="n">
        <f aca="false">T14-T23</f>
        <v>4361072.47</v>
      </c>
      <c r="U24" s="4" t="n">
        <f aca="false">U14-U23</f>
        <v>4287726.15</v>
      </c>
      <c r="V24" s="4" t="n">
        <f aca="false">V14-V23</f>
        <v>3760107.95</v>
      </c>
      <c r="W24" s="4" t="n">
        <f aca="false">W14-W23</f>
        <v>3989643.69</v>
      </c>
      <c r="X24" s="4" t="n">
        <f aca="false">X14-X23</f>
        <v>4016603.55</v>
      </c>
      <c r="Y24" s="4" t="n">
        <f aca="false">Y14-Y23</f>
        <v>4162980.73</v>
      </c>
      <c r="Z24" s="4" t="n">
        <f aca="false">Z14-Z23</f>
        <v>4323416.83</v>
      </c>
      <c r="AA24" s="4" t="n">
        <f aca="false">AA14-AA23</f>
        <v>4355701.65</v>
      </c>
      <c r="AB24" s="4" t="n">
        <f aca="false">AB14-AB23</f>
        <v>4353418.64</v>
      </c>
      <c r="AC24" s="4" t="n">
        <f aca="false">SUM(B24:J24)</f>
        <v>36603743.27</v>
      </c>
      <c r="AD24" s="4" t="n">
        <f aca="false">SUM(K24:V24)</f>
        <v>50107468.79</v>
      </c>
      <c r="AE24" s="4" t="n">
        <f aca="false">SUM(W24:AB24)</f>
        <v>25201765.09</v>
      </c>
    </row>
    <row r="25" customFormat="false" ht="15" hidden="false" customHeight="false" outlineLevel="0" collapsed="false">
      <c r="A25" s="0" t="s">
        <v>50</v>
      </c>
      <c r="B25" s="5" t="n">
        <f aca="false">IF(B14=0,"",B24/B14)</f>
        <v>0.438700000401143</v>
      </c>
      <c r="C25" s="5" t="n">
        <f aca="false">IF(C14=0,"",C24/C14)</f>
        <v>0.455100000377184</v>
      </c>
      <c r="D25" s="5" t="n">
        <f aca="false">IF(D14=0,"",D24/D14)</f>
        <v>0.456399999997004</v>
      </c>
      <c r="E25" s="5" t="n">
        <f aca="false">IF(E14=0,"",E24/E14)</f>
        <v>0.444399999995965</v>
      </c>
      <c r="F25" s="5" t="n">
        <f aca="false">IF(F14=0,"",F24/F14)</f>
        <v>0.464800000027265</v>
      </c>
      <c r="G25" s="5" t="n">
        <f aca="false">IF(G14=0,"",G24/G14)</f>
        <v>0.453599999513444</v>
      </c>
      <c r="H25" s="5" t="n">
        <f aca="false">IF(H14=0,"",H24/H14)</f>
        <v>0.450699999884596</v>
      </c>
      <c r="I25" s="5" t="n">
        <f aca="false">IF(I14=0,"",I24/I14)</f>
        <v>0.449699999605934</v>
      </c>
      <c r="J25" s="5" t="n">
        <f aca="false">IF(J14=0,"",J24/J14)</f>
        <v>0.439299999622013</v>
      </c>
      <c r="K25" s="5" t="n">
        <f aca="false">IF(K14=0,"",K24/K14)</f>
        <v>0.447800000130581</v>
      </c>
      <c r="L25" s="5" t="n">
        <f aca="false">IF(L14=0,"",L24/L14)</f>
        <v>0.455299999975013</v>
      </c>
      <c r="M25" s="5" t="n">
        <f aca="false">IF(M14=0,"",M24/M14)</f>
        <v>0.466300000330588</v>
      </c>
      <c r="N25" s="5" t="n">
        <f aca="false">IF(N14=0,"",N24/N14)</f>
        <v>0.450299999850156</v>
      </c>
      <c r="O25" s="5" t="n">
        <f aca="false">IF(O14=0,"",O24/O14)</f>
        <v>0.45140000033145</v>
      </c>
      <c r="P25" s="5" t="n">
        <f aca="false">IF(P14=0,"",P24/P14)</f>
        <v>0.46930000001184</v>
      </c>
      <c r="Q25" s="5" t="n">
        <f aca="false">IF(Q14=0,"",Q24/Q14)</f>
        <v>0.455400000116251</v>
      </c>
      <c r="R25" s="5" t="n">
        <f aca="false">IF(R14=0,"",R24/R14)</f>
        <v>0.442900000148836</v>
      </c>
      <c r="S25" s="5" t="n">
        <f aca="false">IF(S14=0,"",S24/S14)</f>
        <v>0.457099999651266</v>
      </c>
      <c r="T25" s="5" t="n">
        <f aca="false">IF(T14=0,"",T24/T14)</f>
        <v>0.452699999886749</v>
      </c>
      <c r="U25" s="5" t="n">
        <f aca="false">IF(U14=0,"",U24/U14)</f>
        <v>0.441000000182048</v>
      </c>
      <c r="V25" s="5" t="n">
        <f aca="false">IF(V14=0,"",V24/V14)</f>
        <v>0.454999999806388</v>
      </c>
      <c r="W25" s="5" t="n">
        <f aca="false">IF(W14=0,"",W24/W14)</f>
        <v>0.449400000291291</v>
      </c>
      <c r="X25" s="5" t="n">
        <f aca="false">IF(X14=0,"",X24/X14)</f>
        <v>0.444400000181008</v>
      </c>
      <c r="Y25" s="5" t="n">
        <f aca="false">IF(Y14=0,"",Y24/Y14)</f>
        <v>0.454099999849469</v>
      </c>
      <c r="Z25" s="5" t="n">
        <f aca="false">IF(Z14=0,"",Z24/Z14)</f>
        <v>0.4621999998901</v>
      </c>
      <c r="AA25" s="5" t="n">
        <f aca="false">IF(AA14=0,"",AA24/AA14)</f>
        <v>0.455300000450732</v>
      </c>
      <c r="AB25" s="5" t="n">
        <f aca="false">IF(AB14=0,"",AB24/AB14)</f>
        <v>0.454900000191848</v>
      </c>
      <c r="AC25" s="5" t="n">
        <f aca="false">AC24/AC14</f>
        <v>0.450379942311779</v>
      </c>
      <c r="AD25" s="5" t="n">
        <f aca="false">AD24/AD14</f>
        <v>0.453689968603813</v>
      </c>
      <c r="AE25" s="5" t="n">
        <f aca="false">AE24/AE14</f>
        <v>0.453479335158219</v>
      </c>
    </row>
    <row r="27" customFormat="false" ht="15" hidden="false" customHeight="false" outlineLevel="0" collapsed="false">
      <c r="A27" s="2" t="s">
        <v>51</v>
      </c>
    </row>
    <row r="28" customFormat="false" ht="15" hidden="false" customHeight="false" outlineLevel="0" collapsed="false">
      <c r="A28" s="0" t="s">
        <v>52</v>
      </c>
      <c r="B28" s="3" t="n">
        <v>368547.78</v>
      </c>
      <c r="C28" s="3" t="n">
        <v>376605.6</v>
      </c>
      <c r="D28" s="3" t="n">
        <v>385435.09</v>
      </c>
      <c r="E28" s="3" t="n">
        <v>368620.11</v>
      </c>
      <c r="F28" s="3" t="n">
        <v>371231.35</v>
      </c>
      <c r="G28" s="3" t="n">
        <v>374663.14</v>
      </c>
      <c r="H28" s="3" t="n">
        <v>374604.49</v>
      </c>
      <c r="I28" s="3" t="n">
        <v>388294.75</v>
      </c>
      <c r="J28" s="3" t="n">
        <v>368963.52</v>
      </c>
      <c r="K28" s="3" t="n">
        <v>362330.12</v>
      </c>
      <c r="L28" s="3" t="n">
        <v>371970.12</v>
      </c>
      <c r="M28" s="3" t="n">
        <v>381265.24</v>
      </c>
      <c r="N28" s="3" t="n">
        <v>372966.86</v>
      </c>
      <c r="O28" s="3" t="n">
        <v>384135.72</v>
      </c>
      <c r="P28" s="3" t="n">
        <v>388886.5</v>
      </c>
      <c r="Q28" s="3" t="n">
        <v>377789.79</v>
      </c>
      <c r="R28" s="3" t="n">
        <v>380151.86</v>
      </c>
      <c r="S28" s="3" t="n">
        <v>384613.59</v>
      </c>
      <c r="T28" s="3" t="n">
        <v>381085.75</v>
      </c>
      <c r="U28" s="3" t="n">
        <v>387335.39</v>
      </c>
      <c r="V28" s="3" t="n">
        <v>366494.6</v>
      </c>
      <c r="W28" s="3" t="n">
        <v>367859.96</v>
      </c>
      <c r="X28" s="3" t="n">
        <v>375357.11</v>
      </c>
      <c r="Y28" s="3" t="n">
        <v>382307.04</v>
      </c>
      <c r="Z28" s="3" t="n">
        <v>376194.92</v>
      </c>
      <c r="AA28" s="3" t="n">
        <v>384604.13</v>
      </c>
      <c r="AB28" s="3" t="n">
        <v>389351.05</v>
      </c>
      <c r="AC28" s="4" t="n">
        <f aca="false">SUM(B28:J28)</f>
        <v>3376965.83</v>
      </c>
      <c r="AD28" s="4" t="n">
        <f aca="false">SUM(K28:V28)</f>
        <v>4539025.54</v>
      </c>
      <c r="AE28" s="4" t="n">
        <f aca="false">SUM(W28:AB28)</f>
        <v>2275674.21</v>
      </c>
    </row>
    <row r="29" customFormat="false" ht="15" hidden="false" customHeight="false" outlineLevel="0" collapsed="false">
      <c r="A29" s="0" t="s">
        <v>53</v>
      </c>
      <c r="B29" s="3" t="n">
        <v>141522.35</v>
      </c>
      <c r="C29" s="3" t="n">
        <v>144616.55</v>
      </c>
      <c r="D29" s="3" t="n">
        <v>148007.07</v>
      </c>
      <c r="E29" s="3" t="n">
        <v>141550.12</v>
      </c>
      <c r="F29" s="3" t="n">
        <v>142552.84</v>
      </c>
      <c r="G29" s="3" t="n">
        <v>143870.65</v>
      </c>
      <c r="H29" s="3" t="n">
        <v>143848.12</v>
      </c>
      <c r="I29" s="3" t="n">
        <v>149105.18</v>
      </c>
      <c r="J29" s="3" t="n">
        <v>141681.99</v>
      </c>
      <c r="K29" s="3" t="n">
        <v>139134.77</v>
      </c>
      <c r="L29" s="3" t="n">
        <v>142836.53</v>
      </c>
      <c r="M29" s="3" t="n">
        <v>146405.85</v>
      </c>
      <c r="N29" s="3" t="n">
        <v>143219.27</v>
      </c>
      <c r="O29" s="3" t="n">
        <v>147508.12</v>
      </c>
      <c r="P29" s="3" t="n">
        <v>149332.42</v>
      </c>
      <c r="Q29" s="3" t="n">
        <v>145071.28</v>
      </c>
      <c r="R29" s="3" t="n">
        <v>145978.32</v>
      </c>
      <c r="S29" s="3" t="n">
        <v>147691.62</v>
      </c>
      <c r="T29" s="3" t="n">
        <v>146336.93</v>
      </c>
      <c r="U29" s="3" t="n">
        <v>148736.79</v>
      </c>
      <c r="V29" s="3" t="n">
        <v>140733.93</v>
      </c>
      <c r="W29" s="3" t="n">
        <v>141258.22</v>
      </c>
      <c r="X29" s="3" t="n">
        <v>144137.13</v>
      </c>
      <c r="Y29" s="3" t="n">
        <v>146805.9</v>
      </c>
      <c r="Z29" s="3" t="n">
        <v>144458.85</v>
      </c>
      <c r="AA29" s="3" t="n">
        <v>147687.99</v>
      </c>
      <c r="AB29" s="3" t="n">
        <v>149510.8</v>
      </c>
      <c r="AC29" s="4" t="n">
        <f aca="false">SUM(B29:J29)</f>
        <v>1296754.87</v>
      </c>
      <c r="AD29" s="4" t="n">
        <f aca="false">SUM(K29:V29)</f>
        <v>1742985.83</v>
      </c>
      <c r="AE29" s="4" t="n">
        <f aca="false">SUM(W29:AB29)</f>
        <v>873858.89</v>
      </c>
    </row>
    <row r="30" customFormat="false" ht="15" hidden="false" customHeight="false" outlineLevel="0" collapsed="false">
      <c r="A30" s="0" t="s">
        <v>54</v>
      </c>
      <c r="B30" s="3" t="n">
        <v>551347.49</v>
      </c>
      <c r="C30" s="3" t="n">
        <v>563401.97</v>
      </c>
      <c r="D30" s="3" t="n">
        <v>576610.89</v>
      </c>
      <c r="E30" s="3" t="n">
        <v>551455.69</v>
      </c>
      <c r="F30" s="3" t="n">
        <v>555362.09</v>
      </c>
      <c r="G30" s="3" t="n">
        <v>560496.06</v>
      </c>
      <c r="H30" s="3" t="n">
        <v>560408.32</v>
      </c>
      <c r="I30" s="3" t="n">
        <v>580888.95</v>
      </c>
      <c r="J30" s="3" t="n">
        <v>551969.43</v>
      </c>
      <c r="K30" s="3" t="n">
        <v>542045.86</v>
      </c>
      <c r="L30" s="3" t="n">
        <v>556467.31</v>
      </c>
      <c r="M30" s="3" t="n">
        <v>570372.8</v>
      </c>
      <c r="N30" s="3" t="n">
        <v>557958.42</v>
      </c>
      <c r="O30" s="3" t="n">
        <v>574667.04</v>
      </c>
      <c r="P30" s="3" t="n">
        <v>581774.2</v>
      </c>
      <c r="Q30" s="3" t="n">
        <v>565173.52</v>
      </c>
      <c r="R30" s="3" t="n">
        <v>568707.19</v>
      </c>
      <c r="S30" s="3" t="n">
        <v>575381.93</v>
      </c>
      <c r="T30" s="3" t="n">
        <v>570104.28</v>
      </c>
      <c r="U30" s="3" t="n">
        <v>579453.75</v>
      </c>
      <c r="V30" s="3" t="n">
        <v>548275.92</v>
      </c>
      <c r="W30" s="3" t="n">
        <v>550318.49</v>
      </c>
      <c r="X30" s="3" t="n">
        <v>561534.24</v>
      </c>
      <c r="Y30" s="3" t="n">
        <v>571931.34</v>
      </c>
      <c r="Z30" s="3" t="n">
        <v>562787.61</v>
      </c>
      <c r="AA30" s="3" t="n">
        <v>575367.78</v>
      </c>
      <c r="AB30" s="3" t="n">
        <v>582469.17</v>
      </c>
      <c r="AC30" s="4" t="n">
        <f aca="false">SUM(B30:J30)</f>
        <v>5051940.89</v>
      </c>
      <c r="AD30" s="4" t="n">
        <f aca="false">SUM(K30:V30)</f>
        <v>6790382.22</v>
      </c>
      <c r="AE30" s="4" t="n">
        <f aca="false">SUM(W30:AB30)</f>
        <v>3404408.63</v>
      </c>
    </row>
    <row r="31" customFormat="false" ht="15" hidden="false" customHeight="false" outlineLevel="0" collapsed="false">
      <c r="A31" s="0" t="s">
        <v>55</v>
      </c>
      <c r="B31" s="3" t="n">
        <v>333167.2</v>
      </c>
      <c r="C31" s="3" t="n">
        <v>340451.46</v>
      </c>
      <c r="D31" s="3" t="n">
        <v>348433.32</v>
      </c>
      <c r="E31" s="3" t="n">
        <v>333232.58</v>
      </c>
      <c r="F31" s="3" t="n">
        <v>335593.14</v>
      </c>
      <c r="G31" s="3" t="n">
        <v>338695.48</v>
      </c>
      <c r="H31" s="3" t="n">
        <v>338642.46</v>
      </c>
      <c r="I31" s="3" t="n">
        <v>351018.46</v>
      </c>
      <c r="J31" s="3" t="n">
        <v>333543.02</v>
      </c>
      <c r="K31" s="3" t="n">
        <v>327546.43</v>
      </c>
      <c r="L31" s="3" t="n">
        <v>336260.99</v>
      </c>
      <c r="M31" s="3" t="n">
        <v>344663.77</v>
      </c>
      <c r="N31" s="3" t="n">
        <v>337162.04</v>
      </c>
      <c r="O31" s="3" t="n">
        <v>347258.69</v>
      </c>
      <c r="P31" s="3" t="n">
        <v>351553.39</v>
      </c>
      <c r="Q31" s="3" t="n">
        <v>341521.97</v>
      </c>
      <c r="R31" s="3" t="n">
        <v>343657.29</v>
      </c>
      <c r="S31" s="3" t="n">
        <v>347690.68</v>
      </c>
      <c r="T31" s="3" t="n">
        <v>344501.52</v>
      </c>
      <c r="U31" s="3" t="n">
        <v>350151.2</v>
      </c>
      <c r="V31" s="3" t="n">
        <v>331311.12</v>
      </c>
      <c r="W31" s="3" t="n">
        <v>332545.4</v>
      </c>
      <c r="X31" s="3" t="n">
        <v>339322.83</v>
      </c>
      <c r="Y31" s="3" t="n">
        <v>345605.57</v>
      </c>
      <c r="Z31" s="3" t="n">
        <v>340080.21</v>
      </c>
      <c r="AA31" s="3" t="n">
        <v>347682.14</v>
      </c>
      <c r="AB31" s="3" t="n">
        <v>351973.35</v>
      </c>
      <c r="AC31" s="4" t="n">
        <f aca="false">SUM(B31:J31)</f>
        <v>3052777.12</v>
      </c>
      <c r="AD31" s="4" t="n">
        <f aca="false">SUM(K31:V31)</f>
        <v>4103279.09</v>
      </c>
      <c r="AE31" s="4" t="n">
        <f aca="false">SUM(W31:AB31)</f>
        <v>2057209.5</v>
      </c>
    </row>
    <row r="32" customFormat="false" ht="15" hidden="false" customHeight="false" outlineLevel="0" collapsed="false">
      <c r="A32" s="0" t="s">
        <v>56</v>
      </c>
      <c r="B32" s="3" t="n">
        <v>507121.75</v>
      </c>
      <c r="C32" s="3" t="n">
        <v>518209.3</v>
      </c>
      <c r="D32" s="3" t="n">
        <v>530358.68</v>
      </c>
      <c r="E32" s="3" t="n">
        <v>507221.27</v>
      </c>
      <c r="F32" s="3" t="n">
        <v>510814.33</v>
      </c>
      <c r="G32" s="3" t="n">
        <v>515536.48</v>
      </c>
      <c r="H32" s="3" t="n">
        <v>515455.78</v>
      </c>
      <c r="I32" s="3" t="n">
        <v>534293.58</v>
      </c>
      <c r="J32" s="3" t="n">
        <v>507693.81</v>
      </c>
      <c r="K32" s="3" t="n">
        <v>498566.25</v>
      </c>
      <c r="L32" s="3" t="n">
        <v>511830.89</v>
      </c>
      <c r="M32" s="3" t="n">
        <v>524620.97</v>
      </c>
      <c r="N32" s="3" t="n">
        <v>513202.39</v>
      </c>
      <c r="O32" s="3" t="n">
        <v>528570.75</v>
      </c>
      <c r="P32" s="3" t="n">
        <v>535107.82</v>
      </c>
      <c r="Q32" s="3" t="n">
        <v>519838.75</v>
      </c>
      <c r="R32" s="3" t="n">
        <v>523088.97</v>
      </c>
      <c r="S32" s="3" t="n">
        <v>529228.3</v>
      </c>
      <c r="T32" s="3" t="n">
        <v>524373.99</v>
      </c>
      <c r="U32" s="3" t="n">
        <v>532973.5</v>
      </c>
      <c r="V32" s="3" t="n">
        <v>504296.57</v>
      </c>
      <c r="W32" s="3" t="n">
        <v>506175.3</v>
      </c>
      <c r="X32" s="3" t="n">
        <v>516491.39</v>
      </c>
      <c r="Y32" s="3" t="n">
        <v>526054.49</v>
      </c>
      <c r="Z32" s="3" t="n">
        <v>517644.22</v>
      </c>
      <c r="AA32" s="3" t="n">
        <v>529215.29</v>
      </c>
      <c r="AB32" s="3" t="n">
        <v>535747.04</v>
      </c>
      <c r="AC32" s="4" t="n">
        <f aca="false">SUM(B32:J32)</f>
        <v>4646704.98</v>
      </c>
      <c r="AD32" s="4" t="n">
        <f aca="false">SUM(K32:V32)</f>
        <v>6245699.15</v>
      </c>
      <c r="AE32" s="4" t="n">
        <f aca="false">SUM(W32:AB32)</f>
        <v>3131327.73</v>
      </c>
    </row>
    <row r="33" customFormat="false" ht="15" hidden="false" customHeight="false" outlineLevel="0" collapsed="false">
      <c r="A33" s="0" t="s">
        <v>57</v>
      </c>
      <c r="B33" s="3" t="n">
        <v>241767.35</v>
      </c>
      <c r="C33" s="3" t="n">
        <v>247053.27</v>
      </c>
      <c r="D33" s="3" t="n">
        <v>252845.42</v>
      </c>
      <c r="E33" s="3" t="n">
        <v>241814.79</v>
      </c>
      <c r="F33" s="3" t="n">
        <v>243527.76</v>
      </c>
      <c r="G33" s="3" t="n">
        <v>245779.02</v>
      </c>
      <c r="H33" s="3" t="n">
        <v>245740.54</v>
      </c>
      <c r="I33" s="3" t="n">
        <v>254721.36</v>
      </c>
      <c r="J33" s="3" t="n">
        <v>242040.07</v>
      </c>
      <c r="K33" s="3" t="n">
        <v>237688.56</v>
      </c>
      <c r="L33" s="3" t="n">
        <v>244012.4</v>
      </c>
      <c r="M33" s="3" t="n">
        <v>250110</v>
      </c>
      <c r="N33" s="3" t="n">
        <v>244666.26</v>
      </c>
      <c r="O33" s="3" t="n">
        <v>251993.03</v>
      </c>
      <c r="P33" s="3" t="n">
        <v>255109.54</v>
      </c>
      <c r="Q33" s="3" t="n">
        <v>247830.1</v>
      </c>
      <c r="R33" s="3" t="n">
        <v>249379.62</v>
      </c>
      <c r="S33" s="3" t="n">
        <v>252306.51</v>
      </c>
      <c r="T33" s="3" t="n">
        <v>249992.25</v>
      </c>
      <c r="U33" s="3" t="n">
        <v>254092.02</v>
      </c>
      <c r="V33" s="3" t="n">
        <v>240420.46</v>
      </c>
      <c r="W33" s="3" t="n">
        <v>241316.13</v>
      </c>
      <c r="X33" s="3" t="n">
        <v>246234.27</v>
      </c>
      <c r="Y33" s="3" t="n">
        <v>250793.42</v>
      </c>
      <c r="Z33" s="3" t="n">
        <v>246783.87</v>
      </c>
      <c r="AA33" s="3" t="n">
        <v>252300.31</v>
      </c>
      <c r="AB33" s="3" t="n">
        <v>255414.29</v>
      </c>
      <c r="AC33" s="4" t="n">
        <f aca="false">SUM(B33:J33)</f>
        <v>2215289.58</v>
      </c>
      <c r="AD33" s="4" t="n">
        <f aca="false">SUM(K33:V33)</f>
        <v>2977600.75</v>
      </c>
      <c r="AE33" s="4" t="n">
        <f aca="false">SUM(W33:AB33)</f>
        <v>1492842.29</v>
      </c>
    </row>
    <row r="34" customFormat="false" ht="15" hidden="false" customHeight="false" outlineLevel="0" collapsed="false">
      <c r="A34" s="0" t="s">
        <v>58</v>
      </c>
      <c r="B34" s="3" t="n">
        <v>203438.38</v>
      </c>
      <c r="C34" s="3" t="n">
        <v>207886.29</v>
      </c>
      <c r="D34" s="3" t="n">
        <v>212760.17</v>
      </c>
      <c r="E34" s="3" t="n">
        <v>203478.3</v>
      </c>
      <c r="F34" s="3" t="n">
        <v>204919.7</v>
      </c>
      <c r="G34" s="3" t="n">
        <v>206814.05</v>
      </c>
      <c r="H34" s="3" t="n">
        <v>206781.68</v>
      </c>
      <c r="I34" s="3" t="n">
        <v>214338.7</v>
      </c>
      <c r="J34" s="3" t="n">
        <v>203667.86</v>
      </c>
      <c r="K34" s="3" t="n">
        <v>200006.23</v>
      </c>
      <c r="L34" s="3" t="n">
        <v>205327.51</v>
      </c>
      <c r="M34" s="3" t="n">
        <v>210458.41</v>
      </c>
      <c r="N34" s="3" t="n">
        <v>205877.7</v>
      </c>
      <c r="O34" s="3" t="n">
        <v>212042.92</v>
      </c>
      <c r="P34" s="3" t="n">
        <v>214665.35</v>
      </c>
      <c r="Q34" s="3" t="n">
        <v>208539.96</v>
      </c>
      <c r="R34" s="3" t="n">
        <v>209843.83</v>
      </c>
      <c r="S34" s="3" t="n">
        <v>212306.7</v>
      </c>
      <c r="T34" s="3" t="n">
        <v>210359.33</v>
      </c>
      <c r="U34" s="3" t="n">
        <v>213809.14</v>
      </c>
      <c r="V34" s="3" t="n">
        <v>202305.02</v>
      </c>
      <c r="W34" s="3" t="n">
        <v>203058.7</v>
      </c>
      <c r="X34" s="3" t="n">
        <v>207197.13</v>
      </c>
      <c r="Y34" s="3" t="n">
        <v>211033.49</v>
      </c>
      <c r="Z34" s="3" t="n">
        <v>207659.6</v>
      </c>
      <c r="AA34" s="3" t="n">
        <v>212301.48</v>
      </c>
      <c r="AB34" s="3" t="n">
        <v>214921.78</v>
      </c>
      <c r="AC34" s="4" t="n">
        <f aca="false">SUM(B34:J34)</f>
        <v>1864085.13</v>
      </c>
      <c r="AD34" s="4" t="n">
        <f aca="false">SUM(K34:V34)</f>
        <v>2505542.1</v>
      </c>
      <c r="AE34" s="4" t="n">
        <f aca="false">SUM(W34:AB34)</f>
        <v>1256172.18</v>
      </c>
    </row>
    <row r="35" customFormat="false" ht="15" hidden="false" customHeight="false" outlineLevel="0" collapsed="false">
      <c r="A35" s="0" t="s">
        <v>59</v>
      </c>
      <c r="B35" s="3" t="n">
        <v>109090.14</v>
      </c>
      <c r="C35" s="3" t="n">
        <v>111475.26</v>
      </c>
      <c r="D35" s="3" t="n">
        <v>114088.79</v>
      </c>
      <c r="E35" s="3" t="n">
        <v>109111.55</v>
      </c>
      <c r="F35" s="3" t="n">
        <v>109884.48</v>
      </c>
      <c r="G35" s="3" t="n">
        <v>110900.29</v>
      </c>
      <c r="H35" s="3" t="n">
        <v>110882.93</v>
      </c>
      <c r="I35" s="3" t="n">
        <v>114935.25</v>
      </c>
      <c r="J35" s="3" t="n">
        <v>109213.2</v>
      </c>
      <c r="K35" s="3" t="n">
        <v>107249.72</v>
      </c>
      <c r="L35" s="3" t="n">
        <v>110103.16</v>
      </c>
      <c r="M35" s="3" t="n">
        <v>112854.51</v>
      </c>
      <c r="N35" s="3" t="n">
        <v>110398.19</v>
      </c>
      <c r="O35" s="3" t="n">
        <v>113704.17</v>
      </c>
      <c r="P35" s="3" t="n">
        <v>115110.4</v>
      </c>
      <c r="Q35" s="3" t="n">
        <v>111825.78</v>
      </c>
      <c r="R35" s="3" t="n">
        <v>112524.95</v>
      </c>
      <c r="S35" s="3" t="n">
        <v>113845.62</v>
      </c>
      <c r="T35" s="3" t="n">
        <v>112801.38</v>
      </c>
      <c r="U35" s="3" t="n">
        <v>114651.28</v>
      </c>
      <c r="V35" s="3" t="n">
        <v>108482.4</v>
      </c>
      <c r="W35" s="3" t="n">
        <v>108886.55</v>
      </c>
      <c r="X35" s="3" t="n">
        <v>111105.71</v>
      </c>
      <c r="Y35" s="3" t="n">
        <v>113162.88</v>
      </c>
      <c r="Z35" s="3" t="n">
        <v>111353.7</v>
      </c>
      <c r="AA35" s="3" t="n">
        <v>113842.82</v>
      </c>
      <c r="AB35" s="3" t="n">
        <v>115247.91</v>
      </c>
      <c r="AC35" s="4" t="n">
        <f aca="false">SUM(B35:J35)</f>
        <v>999581.89</v>
      </c>
      <c r="AD35" s="4" t="n">
        <f aca="false">SUM(K35:V35)</f>
        <v>1343551.56</v>
      </c>
      <c r="AE35" s="4" t="n">
        <f aca="false">SUM(W35:AB35)</f>
        <v>673599.57</v>
      </c>
    </row>
    <row r="36" customFormat="false" ht="15" hidden="false" customHeight="false" outlineLevel="0" collapsed="false">
      <c r="A36" s="0" t="s">
        <v>60</v>
      </c>
      <c r="B36" s="3" t="n">
        <v>179851.32</v>
      </c>
      <c r="C36" s="3" t="n">
        <v>183783.53</v>
      </c>
      <c r="D36" s="3" t="n">
        <v>188092.32</v>
      </c>
      <c r="E36" s="3" t="n">
        <v>179886.61</v>
      </c>
      <c r="F36" s="3" t="n">
        <v>181160.9</v>
      </c>
      <c r="G36" s="3" t="n">
        <v>182835.61</v>
      </c>
      <c r="H36" s="3" t="n">
        <v>182806.99</v>
      </c>
      <c r="I36" s="3" t="n">
        <v>189487.84</v>
      </c>
      <c r="J36" s="3" t="n">
        <v>180054.2</v>
      </c>
      <c r="K36" s="3" t="n">
        <v>176817.1</v>
      </c>
      <c r="L36" s="3" t="n">
        <v>181521.42</v>
      </c>
      <c r="M36" s="3" t="n">
        <v>186057.44</v>
      </c>
      <c r="N36" s="3" t="n">
        <v>182007.83</v>
      </c>
      <c r="O36" s="3" t="n">
        <v>187458.23</v>
      </c>
      <c r="P36" s="3" t="n">
        <v>189776.61</v>
      </c>
      <c r="Q36" s="3" t="n">
        <v>184361.42</v>
      </c>
      <c r="R36" s="3" t="n">
        <v>185514.11</v>
      </c>
      <c r="S36" s="3" t="n">
        <v>187691.43</v>
      </c>
      <c r="T36" s="3" t="n">
        <v>185969.85</v>
      </c>
      <c r="U36" s="3" t="n">
        <v>189019.67</v>
      </c>
      <c r="V36" s="3" t="n">
        <v>178849.36</v>
      </c>
      <c r="W36" s="3" t="n">
        <v>179515.66</v>
      </c>
      <c r="X36" s="3" t="n">
        <v>183174.27</v>
      </c>
      <c r="Y36" s="3" t="n">
        <v>186565.84</v>
      </c>
      <c r="Z36" s="3" t="n">
        <v>183583.12</v>
      </c>
      <c r="AA36" s="3" t="n">
        <v>187686.82</v>
      </c>
      <c r="AB36" s="3" t="n">
        <v>190003.31</v>
      </c>
      <c r="AC36" s="4" t="n">
        <f aca="false">SUM(B36:J36)</f>
        <v>1647959.32</v>
      </c>
      <c r="AD36" s="4" t="n">
        <f aca="false">SUM(K36:V36)</f>
        <v>2215044.47</v>
      </c>
      <c r="AE36" s="4" t="n">
        <f aca="false">SUM(W36:AB36)</f>
        <v>1110529.02</v>
      </c>
    </row>
    <row r="37" customFormat="false" ht="15" hidden="false" customHeight="false" outlineLevel="0" collapsed="false">
      <c r="A37" s="0" t="s">
        <v>61</v>
      </c>
      <c r="B37" s="3" t="n">
        <v>120883.67</v>
      </c>
      <c r="C37" s="3" t="n">
        <v>123526.64</v>
      </c>
      <c r="D37" s="3" t="n">
        <v>126422.71</v>
      </c>
      <c r="E37" s="3" t="n">
        <v>120907.4</v>
      </c>
      <c r="F37" s="3" t="n">
        <v>121763.88</v>
      </c>
      <c r="G37" s="3" t="n">
        <v>122889.51</v>
      </c>
      <c r="H37" s="3" t="n">
        <v>122870.27</v>
      </c>
      <c r="I37" s="3" t="n">
        <v>127360.68</v>
      </c>
      <c r="J37" s="3" t="n">
        <v>121020.04</v>
      </c>
      <c r="K37" s="3" t="n">
        <v>118844.28</v>
      </c>
      <c r="L37" s="3" t="n">
        <v>122006.2</v>
      </c>
      <c r="M37" s="3" t="n">
        <v>125055</v>
      </c>
      <c r="N37" s="3" t="n">
        <v>122333.13</v>
      </c>
      <c r="O37" s="3" t="n">
        <v>125996.52</v>
      </c>
      <c r="P37" s="3" t="n">
        <v>127554.77</v>
      </c>
      <c r="Q37" s="3" t="n">
        <v>123915.05</v>
      </c>
      <c r="R37" s="3" t="n">
        <v>124689.81</v>
      </c>
      <c r="S37" s="3" t="n">
        <v>126153.26</v>
      </c>
      <c r="T37" s="3" t="n">
        <v>124996.13</v>
      </c>
      <c r="U37" s="3" t="n">
        <v>127046.01</v>
      </c>
      <c r="V37" s="3" t="n">
        <v>120210.23</v>
      </c>
      <c r="W37" s="3" t="n">
        <v>120658.07</v>
      </c>
      <c r="X37" s="3" t="n">
        <v>123117.13</v>
      </c>
      <c r="Y37" s="3" t="n">
        <v>125396.71</v>
      </c>
      <c r="Z37" s="3" t="n">
        <v>123391.94</v>
      </c>
      <c r="AA37" s="3" t="n">
        <v>126150.16</v>
      </c>
      <c r="AB37" s="3" t="n">
        <v>127707.14</v>
      </c>
      <c r="AC37" s="4" t="n">
        <f aca="false">SUM(B37:J37)</f>
        <v>1107644.8</v>
      </c>
      <c r="AD37" s="4" t="n">
        <f aca="false">SUM(K37:V37)</f>
        <v>1488800.39</v>
      </c>
      <c r="AE37" s="4" t="n">
        <f aca="false">SUM(W37:AB37)</f>
        <v>746421.15</v>
      </c>
    </row>
    <row r="38" customFormat="false" ht="15" hidden="false" customHeight="false" outlineLevel="0" collapsed="false">
      <c r="A38" s="0" t="s">
        <v>62</v>
      </c>
      <c r="B38" s="3" t="n">
        <v>191644.85</v>
      </c>
      <c r="C38" s="3" t="n">
        <v>195834.89</v>
      </c>
      <c r="D38" s="3" t="n">
        <v>200426.26</v>
      </c>
      <c r="E38" s="3" t="n">
        <v>191682.47</v>
      </c>
      <c r="F38" s="3" t="n">
        <v>193040.3</v>
      </c>
      <c r="G38" s="3" t="n">
        <v>194824.85</v>
      </c>
      <c r="H38" s="3" t="n">
        <v>194794.33</v>
      </c>
      <c r="I38" s="3" t="n">
        <v>201913.27</v>
      </c>
      <c r="J38" s="3" t="n">
        <v>191861.04</v>
      </c>
      <c r="K38" s="3" t="n">
        <v>188411.65</v>
      </c>
      <c r="L38" s="3" t="n">
        <v>193424.46</v>
      </c>
      <c r="M38" s="3" t="n">
        <v>198257.91</v>
      </c>
      <c r="N38" s="3" t="n">
        <v>193942.75</v>
      </c>
      <c r="O38" s="3" t="n">
        <v>199750.59</v>
      </c>
      <c r="P38" s="3" t="n">
        <v>202220.98</v>
      </c>
      <c r="Q38" s="3" t="n">
        <v>196450.67</v>
      </c>
      <c r="R38" s="3" t="n">
        <v>197678.97</v>
      </c>
      <c r="S38" s="3" t="n">
        <v>199999.07</v>
      </c>
      <c r="T38" s="3" t="n">
        <v>198164.58</v>
      </c>
      <c r="U38" s="3" t="n">
        <v>201414.4</v>
      </c>
      <c r="V38" s="3" t="n">
        <v>190577.18</v>
      </c>
      <c r="W38" s="3" t="n">
        <v>191287.17</v>
      </c>
      <c r="X38" s="3" t="n">
        <v>195185.69</v>
      </c>
      <c r="Y38" s="3" t="n">
        <v>198799.67</v>
      </c>
      <c r="Z38" s="3" t="n">
        <v>195621.36</v>
      </c>
      <c r="AA38" s="3" t="n">
        <v>199994.14</v>
      </c>
      <c r="AB38" s="3" t="n">
        <v>202462.55</v>
      </c>
      <c r="AC38" s="4" t="n">
        <f aca="false">SUM(B38:J38)</f>
        <v>1756022.26</v>
      </c>
      <c r="AD38" s="4" t="n">
        <f aca="false">SUM(K38:V38)</f>
        <v>2360293.21</v>
      </c>
      <c r="AE38" s="4" t="n">
        <f aca="false">SUM(W38:AB38)</f>
        <v>1183350.58</v>
      </c>
    </row>
    <row r="39" customFormat="false" ht="15" hidden="false" customHeight="false" outlineLevel="0" collapsed="false">
      <c r="A39" s="2" t="s">
        <v>63</v>
      </c>
      <c r="B39" s="4" t="n">
        <f aca="false">SUM(B28:B38)</f>
        <v>2948382.28</v>
      </c>
      <c r="C39" s="4" t="n">
        <f aca="false">SUM(C28:C38)</f>
        <v>3012844.76</v>
      </c>
      <c r="D39" s="4" t="n">
        <f aca="false">SUM(D28:D38)</f>
        <v>3083480.72</v>
      </c>
      <c r="E39" s="4" t="n">
        <f aca="false">SUM(E28:E38)</f>
        <v>2948960.89</v>
      </c>
      <c r="F39" s="4" t="n">
        <f aca="false">SUM(F28:F38)</f>
        <v>2969850.77</v>
      </c>
      <c r="G39" s="4" t="n">
        <f aca="false">SUM(G28:G38)</f>
        <v>2997305.14</v>
      </c>
      <c r="H39" s="4" t="n">
        <f aca="false">SUM(H28:H38)</f>
        <v>2996835.91</v>
      </c>
      <c r="I39" s="4" t="n">
        <f aca="false">SUM(I28:I38)</f>
        <v>3106358.02</v>
      </c>
      <c r="J39" s="4" t="n">
        <f aca="false">SUM(J28:J38)</f>
        <v>2951708.18</v>
      </c>
      <c r="K39" s="4" t="n">
        <f aca="false">SUM(K28:K38)</f>
        <v>2898640.97</v>
      </c>
      <c r="L39" s="4" t="n">
        <f aca="false">SUM(L28:L38)</f>
        <v>2975760.99</v>
      </c>
      <c r="M39" s="4" t="n">
        <f aca="false">SUM(M28:M38)</f>
        <v>3050121.9</v>
      </c>
      <c r="N39" s="4" t="n">
        <f aca="false">SUM(N28:N38)</f>
        <v>2983734.84</v>
      </c>
      <c r="O39" s="4" t="n">
        <f aca="false">SUM(O28:O38)</f>
        <v>3073085.78</v>
      </c>
      <c r="P39" s="4" t="n">
        <f aca="false">SUM(P28:P38)</f>
        <v>3111091.98</v>
      </c>
      <c r="Q39" s="4" t="n">
        <f aca="false">SUM(Q28:Q38)</f>
        <v>3022318.29</v>
      </c>
      <c r="R39" s="4" t="n">
        <f aca="false">SUM(R28:R38)</f>
        <v>3041214.92</v>
      </c>
      <c r="S39" s="4" t="n">
        <f aca="false">SUM(S28:S38)</f>
        <v>3076908.71</v>
      </c>
      <c r="T39" s="4" t="n">
        <f aca="false">SUM(T28:T38)</f>
        <v>3048685.99</v>
      </c>
      <c r="U39" s="4" t="n">
        <f aca="false">SUM(U28:U38)</f>
        <v>3098683.15</v>
      </c>
      <c r="V39" s="4" t="n">
        <f aca="false">SUM(V28:V38)</f>
        <v>2931956.79</v>
      </c>
      <c r="W39" s="4" t="n">
        <f aca="false">SUM(W28:W38)</f>
        <v>2942879.65</v>
      </c>
      <c r="X39" s="4" t="n">
        <f aca="false">SUM(X28:X38)</f>
        <v>3002856.9</v>
      </c>
      <c r="Y39" s="4" t="n">
        <f aca="false">SUM(Y28:Y38)</f>
        <v>3058456.35</v>
      </c>
      <c r="Z39" s="4" t="n">
        <f aca="false">SUM(Z28:Z38)</f>
        <v>3009559.4</v>
      </c>
      <c r="AA39" s="4" t="n">
        <f aca="false">SUM(AA28:AA38)</f>
        <v>3076833.06</v>
      </c>
      <c r="AB39" s="4" t="n">
        <f aca="false">SUM(AB28:AB38)</f>
        <v>3114808.39</v>
      </c>
      <c r="AC39" s="4" t="n">
        <f aca="false">SUM(B39:J39)</f>
        <v>27015726.67</v>
      </c>
      <c r="AD39" s="4" t="n">
        <f aca="false">SUM(K39:V39)</f>
        <v>36312204.31</v>
      </c>
      <c r="AE39" s="4" t="n">
        <f aca="false">SUM(W39:AB39)</f>
        <v>18205393.75</v>
      </c>
    </row>
    <row r="40" customFormat="false" ht="15" hidden="false" customHeight="false" outlineLevel="0" collapsed="false">
      <c r="A40" s="2" t="s">
        <v>64</v>
      </c>
      <c r="B40" s="4" t="n">
        <f aca="false">B24-B39</f>
        <v>963512.769999999</v>
      </c>
      <c r="C40" s="4" t="n">
        <f aca="false">C24-C39</f>
        <v>1132935.86</v>
      </c>
      <c r="D40" s="4" t="n">
        <f aca="false">D24-D39</f>
        <v>1182164.79</v>
      </c>
      <c r="E40" s="4" t="n">
        <f aca="false">E24-E39</f>
        <v>1015597.81</v>
      </c>
      <c r="F40" s="4" t="n">
        <f aca="false">F24-F39</f>
        <v>1121552.95</v>
      </c>
      <c r="G40" s="4" t="n">
        <f aca="false">G24-G39</f>
        <v>962961.889999999</v>
      </c>
      <c r="H40" s="4" t="n">
        <f aca="false">H24-H39</f>
        <v>1178049.42</v>
      </c>
      <c r="I40" s="4" t="n">
        <f aca="false">I24-I39</f>
        <v>1290608.68</v>
      </c>
      <c r="J40" s="4" t="n">
        <f aca="false">J24-J39</f>
        <v>740632.43</v>
      </c>
      <c r="K40" s="4" t="n">
        <f aca="false">K24-K39</f>
        <v>935297.779999999</v>
      </c>
      <c r="L40" s="4" t="n">
        <f aca="false">L24-L39</f>
        <v>1051239.83</v>
      </c>
      <c r="M40" s="4" t="n">
        <f aca="false">M24-M39</f>
        <v>1196943.18</v>
      </c>
      <c r="N40" s="4" t="n">
        <f aca="false">N24-N39</f>
        <v>1145306.58</v>
      </c>
      <c r="O40" s="4" t="n">
        <f aca="false">O24-O39</f>
        <v>1233223.58</v>
      </c>
      <c r="P40" s="4" t="n">
        <f aca="false">P24-P39</f>
        <v>1367677.54</v>
      </c>
      <c r="Q40" s="4" t="n">
        <f aca="false">Q24-Q39</f>
        <v>1278994.2</v>
      </c>
      <c r="R40" s="4" t="n">
        <f aca="false">R24-R39</f>
        <v>1083179.57</v>
      </c>
      <c r="S40" s="4" t="n">
        <f aca="false">S24-S39</f>
        <v>1173821.58</v>
      </c>
      <c r="T40" s="4" t="n">
        <f aca="false">T24-T39</f>
        <v>1312386.48</v>
      </c>
      <c r="U40" s="4" t="n">
        <f aca="false">U24-U39</f>
        <v>1189043</v>
      </c>
      <c r="V40" s="4" t="n">
        <f aca="false">V24-V39</f>
        <v>828151.159999999</v>
      </c>
      <c r="W40" s="4" t="n">
        <f aca="false">W24-W39</f>
        <v>1046764.04</v>
      </c>
      <c r="X40" s="4" t="n">
        <f aca="false">X24-X39</f>
        <v>1013746.65</v>
      </c>
      <c r="Y40" s="4" t="n">
        <f aca="false">Y24-Y39</f>
        <v>1104524.38</v>
      </c>
      <c r="Z40" s="4" t="n">
        <f aca="false">Z24-Z39</f>
        <v>1313857.43</v>
      </c>
      <c r="AA40" s="4" t="n">
        <f aca="false">AA24-AA39</f>
        <v>1278868.59</v>
      </c>
      <c r="AB40" s="4" t="n">
        <f aca="false">AB24-AB39</f>
        <v>1238610.25</v>
      </c>
      <c r="AC40" s="4" t="n">
        <f aca="false">SUM(B40:J40)</f>
        <v>9588016.6</v>
      </c>
      <c r="AD40" s="4" t="n">
        <f aca="false">SUM(K40:V40)</f>
        <v>13795264.48</v>
      </c>
      <c r="AE40" s="4" t="n">
        <f aca="false">SUM(W40:AB40)</f>
        <v>6996371.34</v>
      </c>
    </row>
    <row r="41" customFormat="false" ht="15" hidden="false" customHeight="false" outlineLevel="0" collapsed="false">
      <c r="A41" s="0" t="s">
        <v>65</v>
      </c>
      <c r="B41" s="5" t="n">
        <f aca="false">IF(B14=0,"",B40/B14)</f>
        <v>0.108053270137067</v>
      </c>
      <c r="C41" s="5" t="n">
        <f aca="false">IF(C14=0,"",C40/C14)</f>
        <v>0.12436719584871</v>
      </c>
      <c r="D41" s="5" t="n">
        <f aca="false">IF(D14=0,"",D40/D14)</f>
        <v>0.126484961979988</v>
      </c>
      <c r="E41" s="5" t="n">
        <f aca="false">IF(E14=0,"",E40/E14)</f>
        <v>0.113841590177464</v>
      </c>
      <c r="F41" s="5" t="n">
        <f aca="false">IF(F14=0,"",F40/F14)</f>
        <v>0.127412948431933</v>
      </c>
      <c r="G41" s="5" t="n">
        <f aca="false">IF(G14=0,"",G40/G14)</f>
        <v>0.110295469857613</v>
      </c>
      <c r="H41" s="5" t="n">
        <f aca="false">IF(H14=0,"",H40/H14)</f>
        <v>0.127176396832449</v>
      </c>
      <c r="I41" s="5" t="n">
        <f aca="false">IF(I14=0,"",I40/I14)</f>
        <v>0.131997070363852</v>
      </c>
      <c r="J41" s="5" t="n">
        <f aca="false">IF(J14=0,"",J40/J14)</f>
        <v>0.0881175006817832</v>
      </c>
      <c r="K41" s="5" t="n">
        <f aca="false">IF(K14=0,"",K40/K14)</f>
        <v>0.109241793705268</v>
      </c>
      <c r="L41" s="5" t="n">
        <f aca="false">IF(L14=0,"",L40/L14)</f>
        <v>0.118855077504735</v>
      </c>
      <c r="M41" s="5" t="n">
        <f aca="false">IF(M14=0,"",M40/M14)</f>
        <v>0.131416541709715</v>
      </c>
      <c r="N41" s="5" t="n">
        <f aca="false">IF(N14=0,"",N40/N14)</f>
        <v>0.124903458295263</v>
      </c>
      <c r="O41" s="5" t="n">
        <f aca="false">IF(O14=0,"",O40/O14)</f>
        <v>0.129270119232853</v>
      </c>
      <c r="P41" s="5" t="n">
        <f aca="false">IF(P14=0,"",P40/P14)</f>
        <v>0.143309689563618</v>
      </c>
      <c r="Q41" s="5" t="n">
        <f aca="false">IF(Q14=0,"",Q40/Q14)</f>
        <v>0.135413076864984</v>
      </c>
      <c r="R41" s="5" t="n">
        <f aca="false">IF(R14=0,"",R40/R14)</f>
        <v>0.116317736549545</v>
      </c>
      <c r="S41" s="5" t="n">
        <f aca="false">IF(S14=0,"",S40/S14)</f>
        <v>0.126226273417279</v>
      </c>
      <c r="T41" s="5" t="n">
        <f aca="false">IF(T14=0,"",T40/T14)</f>
        <v>0.136231939146696</v>
      </c>
      <c r="U41" s="5" t="n">
        <f aca="false">IF(U14=0,"",U40/U14)</f>
        <v>0.122295115143131</v>
      </c>
      <c r="V41" s="5" t="n">
        <f aca="false">IF(V14=0,"",V40/V14)</f>
        <v>0.100212223332487</v>
      </c>
      <c r="W41" s="5" t="n">
        <f aca="false">IF(W14=0,"",W40/W14)</f>
        <v>0.117909216068594</v>
      </c>
      <c r="X41" s="5" t="n">
        <f aca="false">IF(X14=0,"",X40/X14)</f>
        <v>0.112161682335688</v>
      </c>
      <c r="Y41" s="5" t="n">
        <f aca="false">IF(Y14=0,"",Y40/Y14)</f>
        <v>0.120482066413921</v>
      </c>
      <c r="Z41" s="5" t="n">
        <f aca="false">IF(Z14=0,"",Z40/Z14)</f>
        <v>0.140459485605881</v>
      </c>
      <c r="AA41" s="5" t="n">
        <f aca="false">IF(AA14=0,"",AA40/AA14)</f>
        <v>0.133679695349067</v>
      </c>
      <c r="AB41" s="5" t="n">
        <f aca="false">IF(AB14=0,"",AB40/AB14)</f>
        <v>0.129425596193668</v>
      </c>
      <c r="AC41" s="5" t="n">
        <f aca="false">AC40/AC14</f>
        <v>0.117972916904692</v>
      </c>
      <c r="AD41" s="5" t="n">
        <f aca="false">AD40/AD14</f>
        <v>0.124906990114447</v>
      </c>
      <c r="AE41" s="5" t="n">
        <f aca="false">AE40/AE14</f>
        <v>0.125892365572526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1" min="2" style="0" width="13"/>
  </cols>
  <sheetData>
    <row r="1" customFormat="false" ht="15" hidden="false" customHeight="false" outlineLevel="0" collapsed="false">
      <c r="A1" s="0" t="s">
        <v>66</v>
      </c>
    </row>
    <row r="2" customFormat="false" ht="15" hidden="false" customHeight="false" outlineLevel="0" collapsed="false">
      <c r="A2" s="0" t="s">
        <v>67</v>
      </c>
    </row>
    <row r="6" customFormat="false" ht="15" hidden="false" customHeight="false" outlineLevel="0" collapsed="false">
      <c r="A6" s="0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2" t="s">
        <v>30</v>
      </c>
      <c r="AD6" s="2" t="s">
        <v>31</v>
      </c>
      <c r="AE6" s="2" t="s">
        <v>32</v>
      </c>
    </row>
    <row r="7" customFormat="false" ht="15" hidden="false" customHeight="false" outlineLevel="0" collapsed="false">
      <c r="A7" s="2" t="s">
        <v>68</v>
      </c>
    </row>
    <row r="8" customFormat="false" ht="15" hidden="false" customHeight="false" outlineLevel="0" collapsed="false">
      <c r="A8" s="0" t="s">
        <v>69</v>
      </c>
      <c r="B8" s="3" t="n">
        <v>2964886</v>
      </c>
      <c r="C8" s="3" t="n">
        <v>3055520.87</v>
      </c>
      <c r="D8" s="3" t="n">
        <v>3150094.05</v>
      </c>
      <c r="E8" s="3" t="n">
        <v>3231341.87</v>
      </c>
      <c r="F8" s="3" t="n">
        <v>3321066.11</v>
      </c>
      <c r="G8" s="3" t="n">
        <v>3398103.06</v>
      </c>
      <c r="H8" s="3" t="n">
        <v>3492347.01</v>
      </c>
      <c r="I8" s="3" t="n">
        <v>3595595.7</v>
      </c>
      <c r="J8" s="3" t="n">
        <v>3654846.29</v>
      </c>
      <c r="K8" s="3" t="n">
        <v>3729670.11</v>
      </c>
      <c r="L8" s="3" t="n">
        <v>3813769.3</v>
      </c>
      <c r="M8" s="3" t="n">
        <v>3909524.75</v>
      </c>
      <c r="N8" s="3" t="n">
        <v>4001149.28</v>
      </c>
      <c r="O8" s="3" t="n">
        <v>4099807.17</v>
      </c>
      <c r="P8" s="3" t="n">
        <v>4209221.37</v>
      </c>
      <c r="Q8" s="3" t="n">
        <v>4311540.91</v>
      </c>
      <c r="R8" s="3" t="n">
        <v>4398195.28</v>
      </c>
      <c r="S8" s="3" t="n">
        <v>4492101.01</v>
      </c>
      <c r="T8" s="3" t="n">
        <v>4597091.93</v>
      </c>
      <c r="U8" s="3" t="n">
        <v>4692215.37</v>
      </c>
      <c r="V8" s="3" t="n">
        <v>4758467.46</v>
      </c>
      <c r="W8" s="3" t="n">
        <v>4842208.58</v>
      </c>
      <c r="X8" s="3" t="n">
        <v>4923308.31</v>
      </c>
      <c r="Y8" s="3" t="n">
        <v>5011670.26</v>
      </c>
      <c r="Z8" s="3" t="n">
        <v>5116778.85</v>
      </c>
      <c r="AA8" s="3" t="n">
        <v>5219088.34</v>
      </c>
      <c r="AB8" s="3" t="n">
        <v>5318177.16</v>
      </c>
      <c r="AC8" s="4" t="n">
        <f aca="false">SUM(B8:J8)</f>
        <v>29863800.96</v>
      </c>
      <c r="AD8" s="4" t="n">
        <f aca="false">SUM(K8:V8)</f>
        <v>51012753.94</v>
      </c>
      <c r="AE8" s="4" t="n">
        <f aca="false">SUM(W8:AB8)</f>
        <v>30431231.5</v>
      </c>
    </row>
    <row r="9" customFormat="false" ht="15" hidden="false" customHeight="false" outlineLevel="0" collapsed="false">
      <c r="A9" s="0" t="s">
        <v>70</v>
      </c>
      <c r="B9" s="3" t="n">
        <v>12372657.34</v>
      </c>
      <c r="C9" s="3" t="n">
        <v>12625910.65</v>
      </c>
      <c r="D9" s="3" t="n">
        <v>12969531.3</v>
      </c>
      <c r="E9" s="3" t="n">
        <v>12248737.84</v>
      </c>
      <c r="F9" s="3" t="n">
        <v>12221396.14</v>
      </c>
      <c r="G9" s="3" t="n">
        <v>11930275.34</v>
      </c>
      <c r="H9" s="3" t="n">
        <v>12757160.15</v>
      </c>
      <c r="I9" s="3" t="n">
        <v>13610357.24</v>
      </c>
      <c r="J9" s="3" t="n">
        <v>11739060</v>
      </c>
      <c r="K9" s="3" t="n">
        <v>11851705.25</v>
      </c>
      <c r="L9" s="3" t="n">
        <v>12288853.37</v>
      </c>
      <c r="M9" s="3" t="n">
        <v>12620665.9</v>
      </c>
      <c r="N9" s="3" t="n">
        <v>12598329.21</v>
      </c>
      <c r="O9" s="3" t="n">
        <v>13210848.91</v>
      </c>
      <c r="P9" s="3" t="n">
        <v>13068247.17</v>
      </c>
      <c r="Q9" s="3" t="n">
        <v>13026724.16</v>
      </c>
      <c r="R9" s="3" t="n">
        <v>12983135.69</v>
      </c>
      <c r="S9" s="3" t="n">
        <v>12802097.36</v>
      </c>
      <c r="T9" s="3" t="n">
        <v>13210700.35</v>
      </c>
      <c r="U9" s="3" t="n">
        <v>13183380.52</v>
      </c>
      <c r="V9" s="3" t="n">
        <v>11180605.24</v>
      </c>
      <c r="W9" s="3" t="n">
        <v>12218690.69</v>
      </c>
      <c r="X9" s="3" t="n">
        <v>12396277.35</v>
      </c>
      <c r="Y9" s="3" t="n">
        <v>12448299.43</v>
      </c>
      <c r="Z9" s="3" t="n">
        <v>12677782.23</v>
      </c>
      <c r="AA9" s="3" t="n">
        <v>12959001.65</v>
      </c>
      <c r="AB9" s="3" t="n">
        <v>12821961.51</v>
      </c>
      <c r="AC9" s="4" t="n">
        <f aca="false">SUM(B9:J9)</f>
        <v>112475086</v>
      </c>
      <c r="AD9" s="4" t="n">
        <f aca="false">SUM(K9:V9)</f>
        <v>152025293.13</v>
      </c>
      <c r="AE9" s="4" t="n">
        <f aca="false">SUM(W9:AB9)</f>
        <v>75522012.86</v>
      </c>
    </row>
    <row r="10" customFormat="false" ht="15" hidden="false" customHeight="false" outlineLevel="0" collapsed="false">
      <c r="A10" s="0" t="s">
        <v>71</v>
      </c>
      <c r="B10" s="3" t="n">
        <v>6756913.67</v>
      </c>
      <c r="C10" s="3" t="n">
        <v>6701161.08</v>
      </c>
      <c r="D10" s="3" t="n">
        <v>6858866.38</v>
      </c>
      <c r="E10" s="3" t="n">
        <v>6691397.16</v>
      </c>
      <c r="F10" s="3" t="n">
        <v>6359984.97</v>
      </c>
      <c r="G10" s="3" t="n">
        <v>6440148.54</v>
      </c>
      <c r="H10" s="3" t="n">
        <v>6869108.26</v>
      </c>
      <c r="I10" s="3" t="n">
        <v>7263794.87</v>
      </c>
      <c r="J10" s="3" t="n">
        <v>6362164.28</v>
      </c>
      <c r="K10" s="3" t="n">
        <v>6382506.29</v>
      </c>
      <c r="L10" s="3" t="n">
        <v>6503920.31</v>
      </c>
      <c r="M10" s="3" t="n">
        <v>6562275.68</v>
      </c>
      <c r="N10" s="3" t="n">
        <v>6804665.77</v>
      </c>
      <c r="O10" s="3" t="n">
        <v>7065342.87</v>
      </c>
      <c r="P10" s="3" t="n">
        <v>6837400.44</v>
      </c>
      <c r="Q10" s="3" t="n">
        <v>6944154.49</v>
      </c>
      <c r="R10" s="3" t="n">
        <v>7003601.78</v>
      </c>
      <c r="S10" s="3" t="n">
        <v>6815628.95</v>
      </c>
      <c r="T10" s="3" t="n">
        <v>7117738.46</v>
      </c>
      <c r="U10" s="3" t="n">
        <v>7337261.99</v>
      </c>
      <c r="V10" s="3" t="n">
        <v>6080218.52</v>
      </c>
      <c r="W10" s="3" t="n">
        <v>6598891.96</v>
      </c>
      <c r="X10" s="3" t="n">
        <v>6779238.65</v>
      </c>
      <c r="Y10" s="3" t="n">
        <v>6756157.44</v>
      </c>
      <c r="Z10" s="3" t="n">
        <v>6791281.53</v>
      </c>
      <c r="AA10" s="3" t="n">
        <v>7034797.77</v>
      </c>
      <c r="AB10" s="3" t="n">
        <v>7042460.92</v>
      </c>
      <c r="AC10" s="4" t="n">
        <f aca="false">SUM(B10:J10)</f>
        <v>60303539.21</v>
      </c>
      <c r="AD10" s="4" t="n">
        <f aca="false">SUM(K10:V10)</f>
        <v>81454715.55</v>
      </c>
      <c r="AE10" s="4" t="n">
        <f aca="false">SUM(W10:AB10)</f>
        <v>41002828.27</v>
      </c>
    </row>
    <row r="11" customFormat="false" ht="15" hidden="false" customHeight="false" outlineLevel="0" collapsed="false">
      <c r="A11" s="0" t="s">
        <v>72</v>
      </c>
      <c r="B11" s="3" t="n">
        <v>998705.8248</v>
      </c>
      <c r="C11" s="3" t="n">
        <v>1020275.608</v>
      </c>
      <c r="D11" s="3" t="n">
        <v>1046784.1744</v>
      </c>
      <c r="E11" s="3" t="n">
        <v>999168.7096</v>
      </c>
      <c r="F11" s="3" t="n">
        <v>985880.4144</v>
      </c>
      <c r="G11" s="3" t="n">
        <v>977843.712</v>
      </c>
      <c r="H11" s="3" t="n">
        <v>1037468.7312</v>
      </c>
      <c r="I11" s="3" t="n">
        <v>1095086.2152</v>
      </c>
      <c r="J11" s="3" t="n">
        <v>941366.148</v>
      </c>
      <c r="K11" s="3" t="n">
        <v>958912.7736</v>
      </c>
      <c r="L11" s="3" t="n">
        <v>990608.592</v>
      </c>
      <c r="M11" s="3" t="n">
        <v>1020097.1232</v>
      </c>
      <c r="N11" s="3" t="n">
        <v>1026987.8728</v>
      </c>
      <c r="O11" s="3" t="n">
        <v>1068468.4272</v>
      </c>
      <c r="P11" s="3" t="n">
        <v>1068873.1864</v>
      </c>
      <c r="Q11" s="3" t="n">
        <v>1057854.6304</v>
      </c>
      <c r="R11" s="3" t="n">
        <v>1042971.7376</v>
      </c>
      <c r="S11" s="3" t="n">
        <v>1041526.5648</v>
      </c>
      <c r="T11" s="3" t="n">
        <v>1078948.7888</v>
      </c>
      <c r="U11" s="3" t="n">
        <v>1088946.3232</v>
      </c>
      <c r="V11" s="3" t="n">
        <v>925565.0344</v>
      </c>
      <c r="W11" s="3" t="n">
        <v>994303.7224</v>
      </c>
      <c r="X11" s="3" t="n">
        <v>1012285.3224</v>
      </c>
      <c r="Y11" s="3" t="n">
        <v>1026764.6816</v>
      </c>
      <c r="Z11" s="3" t="n">
        <v>1047647.5232</v>
      </c>
      <c r="AA11" s="3" t="n">
        <v>1071466.2512</v>
      </c>
      <c r="AB11" s="3" t="n">
        <v>1071846.312</v>
      </c>
      <c r="AC11" s="4" t="n">
        <f aca="false">SUM(B11:J11)</f>
        <v>9102579.5376</v>
      </c>
      <c r="AD11" s="4" t="n">
        <f aca="false">SUM(K11:V11)</f>
        <v>12369761.0544</v>
      </c>
      <c r="AE11" s="4" t="n">
        <f aca="false">SUM(W11:AB11)</f>
        <v>6224313.8128</v>
      </c>
    </row>
    <row r="13" customFormat="false" ht="15" hidden="false" customHeight="false" outlineLevel="0" collapsed="false">
      <c r="A13" s="2" t="s">
        <v>73</v>
      </c>
    </row>
    <row r="14" customFormat="false" ht="15" hidden="false" customHeight="false" outlineLevel="0" collapsed="false">
      <c r="A14" s="0" t="s">
        <v>74</v>
      </c>
      <c r="B14" s="3" t="n">
        <v>8988352.4232</v>
      </c>
      <c r="C14" s="3" t="n">
        <v>9182480.472</v>
      </c>
      <c r="D14" s="3" t="n">
        <v>9421057.5696</v>
      </c>
      <c r="E14" s="3" t="n">
        <v>8992518.3864</v>
      </c>
      <c r="F14" s="3" t="n">
        <v>8872923.7296</v>
      </c>
      <c r="G14" s="3" t="n">
        <v>8800593.408</v>
      </c>
      <c r="H14" s="3" t="n">
        <v>9337218.5808</v>
      </c>
      <c r="I14" s="3" t="n">
        <v>9855775.9368</v>
      </c>
      <c r="J14" s="3" t="n">
        <v>8472295.332</v>
      </c>
      <c r="K14" s="3" t="n">
        <v>8630214.9624</v>
      </c>
      <c r="L14" s="3" t="n">
        <v>8915477.328</v>
      </c>
      <c r="M14" s="3" t="n">
        <v>9180874.1088</v>
      </c>
      <c r="N14" s="3" t="n">
        <v>9242890.8552</v>
      </c>
      <c r="O14" s="3" t="n">
        <v>9616215.8448</v>
      </c>
      <c r="P14" s="3" t="n">
        <v>9619858.6776</v>
      </c>
      <c r="Q14" s="3" t="n">
        <v>9520691.6736</v>
      </c>
      <c r="R14" s="3" t="n">
        <v>9386745.6384</v>
      </c>
      <c r="S14" s="3" t="n">
        <v>9373739.0832</v>
      </c>
      <c r="T14" s="3" t="n">
        <v>9710539.0992</v>
      </c>
      <c r="U14" s="3" t="n">
        <v>9800516.9088</v>
      </c>
      <c r="V14" s="3" t="n">
        <v>8330085.3096</v>
      </c>
      <c r="W14" s="3" t="n">
        <v>8948733.5016</v>
      </c>
      <c r="X14" s="3" t="n">
        <v>9110567.9016</v>
      </c>
      <c r="Y14" s="3" t="n">
        <v>9240882.1344</v>
      </c>
      <c r="Z14" s="3" t="n">
        <v>9428827.7088</v>
      </c>
      <c r="AA14" s="3" t="n">
        <v>9643196.2608</v>
      </c>
      <c r="AB14" s="3" t="n">
        <v>9646616.808</v>
      </c>
      <c r="AC14" s="4" t="n">
        <f aca="false">SUM(B14:J14)</f>
        <v>81923215.8384</v>
      </c>
      <c r="AD14" s="4" t="n">
        <f aca="false">SUM(K14:V14)</f>
        <v>111327849.4896</v>
      </c>
      <c r="AE14" s="4" t="n">
        <f aca="false">SUM(W14:AB14)</f>
        <v>56018824.3152</v>
      </c>
    </row>
    <row r="15" customFormat="false" ht="15" hidden="false" customHeight="false" outlineLevel="0" collapsed="false">
      <c r="A15" s="0" t="s">
        <v>75</v>
      </c>
      <c r="B15" s="3" t="n">
        <v>2496764.562</v>
      </c>
      <c r="C15" s="3" t="n">
        <v>2550689.02</v>
      </c>
      <c r="D15" s="3" t="n">
        <v>2616960.436</v>
      </c>
      <c r="E15" s="3" t="n">
        <v>2497921.774</v>
      </c>
      <c r="F15" s="3" t="n">
        <v>2464701.036</v>
      </c>
      <c r="G15" s="3" t="n">
        <v>2444609.28</v>
      </c>
      <c r="H15" s="3" t="n">
        <v>2593671.828</v>
      </c>
      <c r="I15" s="3" t="n">
        <v>2737715.538</v>
      </c>
      <c r="J15" s="3" t="n">
        <v>2353415.37</v>
      </c>
      <c r="K15" s="3" t="n">
        <v>2397281.934</v>
      </c>
      <c r="L15" s="3" t="n">
        <v>2476521.48</v>
      </c>
      <c r="M15" s="3" t="n">
        <v>2550242.808</v>
      </c>
      <c r="N15" s="3" t="n">
        <v>2567469.682</v>
      </c>
      <c r="O15" s="3" t="n">
        <v>2671171.068</v>
      </c>
      <c r="P15" s="3" t="n">
        <v>2672182.966</v>
      </c>
      <c r="Q15" s="3" t="n">
        <v>2644636.576</v>
      </c>
      <c r="R15" s="3" t="n">
        <v>2607429.344</v>
      </c>
      <c r="S15" s="3" t="n">
        <v>2603816.412</v>
      </c>
      <c r="T15" s="3" t="n">
        <v>2697371.972</v>
      </c>
      <c r="U15" s="3" t="n">
        <v>2722365.808</v>
      </c>
      <c r="V15" s="3" t="n">
        <v>2313912.586</v>
      </c>
      <c r="W15" s="3" t="n">
        <v>2485759.306</v>
      </c>
      <c r="X15" s="3" t="n">
        <v>2530713.306</v>
      </c>
      <c r="Y15" s="3" t="n">
        <v>2566911.704</v>
      </c>
      <c r="Z15" s="3" t="n">
        <v>2619118.808</v>
      </c>
      <c r="AA15" s="3" t="n">
        <v>2678665.628</v>
      </c>
      <c r="AB15" s="3" t="n">
        <v>2679615.78</v>
      </c>
      <c r="AC15" s="4" t="n">
        <f aca="false">SUM(B15:J15)</f>
        <v>22756448.844</v>
      </c>
      <c r="AD15" s="4" t="n">
        <f aca="false">SUM(K15:V15)</f>
        <v>30924402.636</v>
      </c>
      <c r="AE15" s="4" t="n">
        <f aca="false">SUM(W15:AB15)</f>
        <v>15560784.532</v>
      </c>
    </row>
    <row r="16" customFormat="false" ht="15" hidden="false" customHeight="false" outlineLevel="0" collapsed="false">
      <c r="A16" s="2" t="s">
        <v>76</v>
      </c>
      <c r="B16" s="4" t="n">
        <f aca="false">B8+B9+B10+B11+B14+B15</f>
        <v>34578279.82</v>
      </c>
      <c r="C16" s="4" t="n">
        <f aca="false">C8+C9+C10+C11+C14+C15</f>
        <v>35136037.7</v>
      </c>
      <c r="D16" s="4" t="n">
        <f aca="false">D8+D9+D10+D11+D14+D15</f>
        <v>36063293.91</v>
      </c>
      <c r="E16" s="4" t="n">
        <f aca="false">E8+E9+E10+E11+E14+E15</f>
        <v>34661085.74</v>
      </c>
      <c r="F16" s="4" t="n">
        <f aca="false">F8+F9+F10+F11+F14+F15</f>
        <v>34225952.4</v>
      </c>
      <c r="G16" s="4" t="n">
        <f aca="false">G8+G9+G10+G11+G14+G15</f>
        <v>33991573.34</v>
      </c>
      <c r="H16" s="4" t="n">
        <f aca="false">H8+H9+H10+H11+H14+H15</f>
        <v>36086974.56</v>
      </c>
      <c r="I16" s="4" t="n">
        <f aca="false">I8+I9+I10+I11+I14+I15</f>
        <v>38158325.5</v>
      </c>
      <c r="J16" s="4" t="n">
        <f aca="false">J8+J9+J10+J11+J14+J15</f>
        <v>33523147.42</v>
      </c>
      <c r="K16" s="4" t="n">
        <f aca="false">K8+K9+K10+K11+K14+K15</f>
        <v>33950291.32</v>
      </c>
      <c r="L16" s="4" t="n">
        <f aca="false">L8+L9+L10+L11+L14+L15</f>
        <v>34989150.38</v>
      </c>
      <c r="M16" s="4" t="n">
        <f aca="false">M8+M9+M10+M11+M14+M15</f>
        <v>35843680.37</v>
      </c>
      <c r="N16" s="4" t="n">
        <f aca="false">N8+N9+N10+N11+N14+N15</f>
        <v>36241492.67</v>
      </c>
      <c r="O16" s="4" t="n">
        <f aca="false">O8+O9+O10+O11+O14+O15</f>
        <v>37731854.29</v>
      </c>
      <c r="P16" s="4" t="n">
        <f aca="false">P8+P9+P10+P11+P14+P15</f>
        <v>37475783.81</v>
      </c>
      <c r="Q16" s="4" t="n">
        <f aca="false">Q8+Q9+Q10+Q11+Q14+Q15</f>
        <v>37505602.44</v>
      </c>
      <c r="R16" s="4" t="n">
        <f aca="false">R8+R9+R10+R11+R14+R15</f>
        <v>37422079.47</v>
      </c>
      <c r="S16" s="4" t="n">
        <f aca="false">S8+S9+S10+S11+S14+S15</f>
        <v>37128909.38</v>
      </c>
      <c r="T16" s="4" t="n">
        <f aca="false">T8+T9+T10+T11+T14+T15</f>
        <v>38412390.6</v>
      </c>
      <c r="U16" s="4" t="n">
        <f aca="false">U8+U9+U10+U11+U14+U15</f>
        <v>38824686.92</v>
      </c>
      <c r="V16" s="4" t="n">
        <f aca="false">V8+V9+V10+V11+V14+V15</f>
        <v>33588854.15</v>
      </c>
      <c r="W16" s="4" t="n">
        <f aca="false">W8+W9+W10+W11+W14+W15</f>
        <v>36088587.76</v>
      </c>
      <c r="X16" s="4" t="n">
        <f aca="false">X8+X9+X10+X11+X14+X15</f>
        <v>36752390.84</v>
      </c>
      <c r="Y16" s="4" t="n">
        <f aca="false">Y8+Y9+Y10+Y11+Y14+Y15</f>
        <v>37050685.65</v>
      </c>
      <c r="Z16" s="4" t="n">
        <f aca="false">Z8+Z9+Z10+Z11+Z14+Z15</f>
        <v>37681436.65</v>
      </c>
      <c r="AA16" s="4" t="n">
        <f aca="false">AA8+AA9+AA10+AA11+AA14+AA15</f>
        <v>38606215.9</v>
      </c>
      <c r="AB16" s="4" t="n">
        <f aca="false">AB8+AB9+AB10+AB11+AB14+AB15</f>
        <v>38580678.49</v>
      </c>
      <c r="AC16" s="4" t="n">
        <f aca="false">J16</f>
        <v>33523147.42</v>
      </c>
      <c r="AD16" s="4" t="n">
        <f aca="false">V16</f>
        <v>33588854.15</v>
      </c>
      <c r="AE16" s="4" t="n">
        <f aca="false">AB16</f>
        <v>38580678.49</v>
      </c>
    </row>
    <row r="18" customFormat="false" ht="15" hidden="false" customHeight="false" outlineLevel="0" collapsed="false">
      <c r="A18" s="2" t="s">
        <v>77</v>
      </c>
    </row>
    <row r="19" customFormat="false" ht="15" hidden="false" customHeight="false" outlineLevel="0" collapsed="false">
      <c r="A19" s="0" t="s">
        <v>78</v>
      </c>
      <c r="B19" s="3" t="n">
        <v>4925039.3018</v>
      </c>
      <c r="C19" s="3" t="n">
        <v>4884401.8484</v>
      </c>
      <c r="D19" s="3" t="n">
        <v>4999351.4902</v>
      </c>
      <c r="E19" s="3" t="n">
        <v>4877285.0438</v>
      </c>
      <c r="F19" s="3" t="n">
        <v>4635722.3836</v>
      </c>
      <c r="G19" s="3" t="n">
        <v>4694152.7136</v>
      </c>
      <c r="H19" s="3" t="n">
        <v>5006816.6882</v>
      </c>
      <c r="I19" s="3" t="n">
        <v>5294499.371</v>
      </c>
      <c r="J19" s="3" t="n">
        <v>4637310.8548</v>
      </c>
      <c r="K19" s="3" t="n">
        <v>4652137.9226</v>
      </c>
      <c r="L19" s="3" t="n">
        <v>4740635.25</v>
      </c>
      <c r="M19" s="3" t="n">
        <v>4783169.8308</v>
      </c>
      <c r="N19" s="3" t="n">
        <v>4959845.2678</v>
      </c>
      <c r="O19" s="3" t="n">
        <v>5149849.9114</v>
      </c>
      <c r="P19" s="3" t="n">
        <v>4983705.2096</v>
      </c>
      <c r="Q19" s="3" t="n">
        <v>5061517.0514</v>
      </c>
      <c r="R19" s="3" t="n">
        <v>5104847.516</v>
      </c>
      <c r="S19" s="3" t="n">
        <v>4967836.217</v>
      </c>
      <c r="T19" s="3" t="n">
        <v>5188040.4766</v>
      </c>
      <c r="U19" s="3" t="n">
        <v>5348048.7412</v>
      </c>
      <c r="V19" s="3" t="n">
        <v>4431803.7176</v>
      </c>
      <c r="W19" s="3" t="n">
        <v>4809859.0268</v>
      </c>
      <c r="X19" s="3" t="n">
        <v>4941311.7262</v>
      </c>
      <c r="Y19" s="3" t="n">
        <v>4924488.0896</v>
      </c>
      <c r="Z19" s="3" t="n">
        <v>4950089.6458</v>
      </c>
      <c r="AA19" s="3" t="n">
        <v>5127585.9274</v>
      </c>
      <c r="AB19" s="3" t="n">
        <v>5133171.5132</v>
      </c>
      <c r="AC19" s="4" t="n">
        <f aca="false">SUM(B19:J19)</f>
        <v>43954579.6954</v>
      </c>
      <c r="AD19" s="4" t="n">
        <f aca="false">SUM(K19:V19)</f>
        <v>59371437.112</v>
      </c>
      <c r="AE19" s="4" t="n">
        <f aca="false">SUM(W19:AB19)</f>
        <v>29886505.929</v>
      </c>
    </row>
    <row r="20" customFormat="false" ht="15" hidden="false" customHeight="false" outlineLevel="0" collapsed="false">
      <c r="A20" s="0" t="s">
        <v>79</v>
      </c>
      <c r="B20" s="3" t="n">
        <v>1081106.1882</v>
      </c>
      <c r="C20" s="3" t="n">
        <v>1072185.7716</v>
      </c>
      <c r="D20" s="3" t="n">
        <v>1097418.6198</v>
      </c>
      <c r="E20" s="3" t="n">
        <v>1070623.5462</v>
      </c>
      <c r="F20" s="3" t="n">
        <v>1017597.5964</v>
      </c>
      <c r="G20" s="3" t="n">
        <v>1030423.7664</v>
      </c>
      <c r="H20" s="3" t="n">
        <v>1099057.3218</v>
      </c>
      <c r="I20" s="3" t="n">
        <v>1162207.179</v>
      </c>
      <c r="J20" s="3" t="n">
        <v>1017946.2852</v>
      </c>
      <c r="K20" s="3" t="n">
        <v>1021201.0074</v>
      </c>
      <c r="L20" s="3" t="n">
        <v>1040627.25</v>
      </c>
      <c r="M20" s="3" t="n">
        <v>1049964.1092</v>
      </c>
      <c r="N20" s="3" t="n">
        <v>1088746.5222</v>
      </c>
      <c r="O20" s="3" t="n">
        <v>1130454.8586</v>
      </c>
      <c r="P20" s="3" t="n">
        <v>1093984.0704</v>
      </c>
      <c r="Q20" s="3" t="n">
        <v>1111064.7186</v>
      </c>
      <c r="R20" s="3" t="n">
        <v>1120576.284</v>
      </c>
      <c r="S20" s="3" t="n">
        <v>1090500.633</v>
      </c>
      <c r="T20" s="3" t="n">
        <v>1138838.1534</v>
      </c>
      <c r="U20" s="3" t="n">
        <v>1173961.9188</v>
      </c>
      <c r="V20" s="3" t="n">
        <v>972834.9624</v>
      </c>
      <c r="W20" s="3" t="n">
        <v>1055822.7132</v>
      </c>
      <c r="X20" s="3" t="n">
        <v>1084678.1838</v>
      </c>
      <c r="Y20" s="3" t="n">
        <v>1080985.1904</v>
      </c>
      <c r="Z20" s="3" t="n">
        <v>1086605.0442</v>
      </c>
      <c r="AA20" s="3" t="n">
        <v>1125567.6426</v>
      </c>
      <c r="AB20" s="3" t="n">
        <v>1126793.7468</v>
      </c>
      <c r="AC20" s="4" t="n">
        <f aca="false">SUM(B20:J20)</f>
        <v>9648566.2746</v>
      </c>
      <c r="AD20" s="4" t="n">
        <f aca="false">SUM(K20:V20)</f>
        <v>13032754.488</v>
      </c>
      <c r="AE20" s="4" t="n">
        <f aca="false">SUM(W20:AB20)</f>
        <v>6560452.521</v>
      </c>
    </row>
    <row r="21" customFormat="false" ht="15" hidden="false" customHeight="false" outlineLevel="0" collapsed="false">
      <c r="A21" s="0" t="s">
        <v>80</v>
      </c>
      <c r="B21" s="3" t="n">
        <v>27600097.48</v>
      </c>
      <c r="C21" s="3" t="n">
        <v>27434496.9</v>
      </c>
      <c r="D21" s="3" t="n">
        <v>27269889.92</v>
      </c>
      <c r="E21" s="3" t="n">
        <v>27106270.58</v>
      </c>
      <c r="F21" s="3" t="n">
        <v>26943632.96</v>
      </c>
      <c r="G21" s="3" t="n">
        <v>26781971.16</v>
      </c>
      <c r="H21" s="3" t="n">
        <v>26621279.33</v>
      </c>
      <c r="I21" s="3" t="n">
        <v>26461551.65</v>
      </c>
      <c r="J21" s="3" t="n">
        <v>26302782.34</v>
      </c>
      <c r="K21" s="3" t="n">
        <v>26144965.65</v>
      </c>
      <c r="L21" s="3" t="n">
        <v>25988095.86</v>
      </c>
      <c r="M21" s="3" t="n">
        <v>25832167.28</v>
      </c>
      <c r="N21" s="3" t="n">
        <v>25677174.28</v>
      </c>
      <c r="O21" s="3" t="n">
        <v>25523111.23</v>
      </c>
      <c r="P21" s="3" t="n">
        <v>25369972.56</v>
      </c>
      <c r="Q21" s="3" t="n">
        <v>25217752.72</v>
      </c>
      <c r="R21" s="3" t="n">
        <v>25066446.2</v>
      </c>
      <c r="S21" s="3" t="n">
        <v>24916047.52</v>
      </c>
      <c r="T21" s="3" t="n">
        <v>24766551.23</v>
      </c>
      <c r="U21" s="3" t="n">
        <v>24617951.92</v>
      </c>
      <c r="V21" s="3" t="n">
        <v>24470244.21</v>
      </c>
      <c r="W21" s="3" t="n">
        <v>24323422.74</v>
      </c>
      <c r="X21" s="3" t="n">
        <v>24177482.2</v>
      </c>
      <c r="Y21" s="3" t="n">
        <v>24032417.31</v>
      </c>
      <c r="Z21" s="3" t="n">
        <v>23888222.81</v>
      </c>
      <c r="AA21" s="3" t="n">
        <v>23744893.47</v>
      </c>
      <c r="AB21" s="3" t="n">
        <v>23602424.11</v>
      </c>
      <c r="AC21" s="4" t="n">
        <f aca="false">SUM(B21:J21)</f>
        <v>242521972.32</v>
      </c>
      <c r="AD21" s="4" t="n">
        <f aca="false">SUM(K21:V21)</f>
        <v>303590480.66</v>
      </c>
      <c r="AE21" s="4" t="n">
        <f aca="false">SUM(W21:AB21)</f>
        <v>143768862.64</v>
      </c>
    </row>
    <row r="22" customFormat="false" ht="15" hidden="false" customHeight="false" outlineLevel="0" collapsed="false">
      <c r="A22" s="2" t="s">
        <v>81</v>
      </c>
      <c r="B22" s="4" t="n">
        <f aca="false">B19+B20+B21</f>
        <v>33606242.97</v>
      </c>
      <c r="C22" s="4" t="n">
        <f aca="false">C19+C20+C21</f>
        <v>33391084.52</v>
      </c>
      <c r="D22" s="4" t="n">
        <f aca="false">D19+D20+D21</f>
        <v>33366660.03</v>
      </c>
      <c r="E22" s="4" t="n">
        <f aca="false">E19+E20+E21</f>
        <v>33054179.17</v>
      </c>
      <c r="F22" s="4" t="n">
        <f aca="false">F19+F20+F21</f>
        <v>32596952.94</v>
      </c>
      <c r="G22" s="4" t="n">
        <f aca="false">G19+G20+G21</f>
        <v>32506547.64</v>
      </c>
      <c r="H22" s="4" t="n">
        <f aca="false">H19+H20+H21</f>
        <v>32727153.34</v>
      </c>
      <c r="I22" s="4" t="n">
        <f aca="false">I19+I20+I21</f>
        <v>32918258.2</v>
      </c>
      <c r="J22" s="4" t="n">
        <f aca="false">J19+J20+J21</f>
        <v>31958039.48</v>
      </c>
      <c r="K22" s="4" t="n">
        <f aca="false">K19+K20+K21</f>
        <v>31818304.58</v>
      </c>
      <c r="L22" s="4" t="n">
        <f aca="false">L19+L20+L21</f>
        <v>31769358.36</v>
      </c>
      <c r="M22" s="4" t="n">
        <f aca="false">M19+M20+M21</f>
        <v>31665301.22</v>
      </c>
      <c r="N22" s="4" t="n">
        <f aca="false">N19+N20+N21</f>
        <v>31725766.07</v>
      </c>
      <c r="O22" s="4" t="n">
        <f aca="false">O19+O20+O21</f>
        <v>31803416</v>
      </c>
      <c r="P22" s="4" t="n">
        <f aca="false">P19+P20+P21</f>
        <v>31447661.84</v>
      </c>
      <c r="Q22" s="4" t="n">
        <f aca="false">Q19+Q20+Q21</f>
        <v>31390334.49</v>
      </c>
      <c r="R22" s="4" t="n">
        <f aca="false">R19+R20+R21</f>
        <v>31291870</v>
      </c>
      <c r="S22" s="4" t="n">
        <f aca="false">S19+S20+S21</f>
        <v>30974384.37</v>
      </c>
      <c r="T22" s="4" t="n">
        <f aca="false">T19+T20+T21</f>
        <v>31093429.86</v>
      </c>
      <c r="U22" s="4" t="n">
        <f aca="false">U19+U20+U21</f>
        <v>31139962.58</v>
      </c>
      <c r="V22" s="4" t="n">
        <f aca="false">V19+V20+V21</f>
        <v>29874882.89</v>
      </c>
      <c r="W22" s="4" t="n">
        <f aca="false">W19+W20+W21</f>
        <v>30189104.48</v>
      </c>
      <c r="X22" s="4" t="n">
        <f aca="false">X19+X20+X21</f>
        <v>30203472.11</v>
      </c>
      <c r="Y22" s="4" t="n">
        <f aca="false">Y19+Y20+Y21</f>
        <v>30037890.59</v>
      </c>
      <c r="Z22" s="4" t="n">
        <f aca="false">Z19+Z20+Z21</f>
        <v>29924917.5</v>
      </c>
      <c r="AA22" s="4" t="n">
        <f aca="false">AA19+AA20+AA21</f>
        <v>29998047.04</v>
      </c>
      <c r="AB22" s="4" t="n">
        <f aca="false">AB19+AB20+AB21</f>
        <v>29862389.37</v>
      </c>
      <c r="AC22" s="4" t="n">
        <f aca="false">J22</f>
        <v>31958039.48</v>
      </c>
      <c r="AD22" s="4" t="n">
        <f aca="false">V22</f>
        <v>29874882.89</v>
      </c>
      <c r="AE22" s="4" t="n">
        <f aca="false">AB22</f>
        <v>29862389.37</v>
      </c>
    </row>
    <row r="23" customFormat="false" ht="15" hidden="false" customHeight="false" outlineLevel="0" collapsed="false">
      <c r="A23" s="0" t="s">
        <v>82</v>
      </c>
      <c r="B23" s="3" t="n">
        <v>972036.85</v>
      </c>
      <c r="C23" s="3" t="n">
        <v>1744953.18</v>
      </c>
      <c r="D23" s="3" t="n">
        <v>2696633.88</v>
      </c>
      <c r="E23" s="3" t="n">
        <v>1606906.57</v>
      </c>
      <c r="F23" s="3" t="n">
        <v>1628999.46</v>
      </c>
      <c r="G23" s="3" t="n">
        <v>1485025.7</v>
      </c>
      <c r="H23" s="3" t="n">
        <v>3359821.22</v>
      </c>
      <c r="I23" s="3" t="n">
        <v>5240067.3</v>
      </c>
      <c r="J23" s="3" t="n">
        <v>1565107.94</v>
      </c>
      <c r="K23" s="3" t="n">
        <v>2131986.74</v>
      </c>
      <c r="L23" s="3" t="n">
        <v>3219792.02</v>
      </c>
      <c r="M23" s="3" t="n">
        <v>4178379.15</v>
      </c>
      <c r="N23" s="3" t="n">
        <v>4515726.6</v>
      </c>
      <c r="O23" s="3" t="n">
        <v>5928438.29</v>
      </c>
      <c r="P23" s="3" t="n">
        <v>6028121.97</v>
      </c>
      <c r="Q23" s="3" t="n">
        <v>6115267.95</v>
      </c>
      <c r="R23" s="3" t="n">
        <v>6130209.47</v>
      </c>
      <c r="S23" s="3" t="n">
        <v>6154525.01</v>
      </c>
      <c r="T23" s="3" t="n">
        <v>7318960.74</v>
      </c>
      <c r="U23" s="3" t="n">
        <v>7684724.34</v>
      </c>
      <c r="V23" s="3" t="n">
        <v>3713971.26</v>
      </c>
      <c r="W23" s="3" t="n">
        <v>5899483.28</v>
      </c>
      <c r="X23" s="3" t="n">
        <v>6548918.73</v>
      </c>
      <c r="Y23" s="3" t="n">
        <v>7012795.06</v>
      </c>
      <c r="Z23" s="3" t="n">
        <v>7756519.15</v>
      </c>
      <c r="AA23" s="3" t="n">
        <v>8608168.86</v>
      </c>
      <c r="AB23" s="3" t="n">
        <v>8718289.12</v>
      </c>
      <c r="AC23" s="4" t="n">
        <f aca="false">SUM(B23:J23)</f>
        <v>20299552.1</v>
      </c>
      <c r="AD23" s="4" t="n">
        <f aca="false">SUM(K23:V23)</f>
        <v>63120103.54</v>
      </c>
      <c r="AE23" s="4" t="n">
        <f aca="false">SUM(W23:AB23)</f>
        <v>44544174.2</v>
      </c>
    </row>
    <row r="24" customFormat="false" ht="15" hidden="false" customHeight="false" outlineLevel="0" collapsed="false">
      <c r="A24" s="2" t="s">
        <v>83</v>
      </c>
      <c r="B24" s="4" t="n">
        <f aca="false">B22+B23</f>
        <v>34578279.82</v>
      </c>
      <c r="C24" s="4" t="n">
        <f aca="false">C22+C23</f>
        <v>35136037.7</v>
      </c>
      <c r="D24" s="4" t="n">
        <f aca="false">D22+D23</f>
        <v>36063293.91</v>
      </c>
      <c r="E24" s="4" t="n">
        <f aca="false">E22+E23</f>
        <v>34661085.74</v>
      </c>
      <c r="F24" s="4" t="n">
        <f aca="false">F22+F23</f>
        <v>34225952.4</v>
      </c>
      <c r="G24" s="4" t="n">
        <f aca="false">G22+G23</f>
        <v>33991573.34</v>
      </c>
      <c r="H24" s="4" t="n">
        <f aca="false">H22+H23</f>
        <v>36086974.56</v>
      </c>
      <c r="I24" s="4" t="n">
        <f aca="false">I22+I23</f>
        <v>38158325.5</v>
      </c>
      <c r="J24" s="4" t="n">
        <f aca="false">J22+J23</f>
        <v>33523147.42</v>
      </c>
      <c r="K24" s="4" t="n">
        <f aca="false">K22+K23</f>
        <v>33950291.32</v>
      </c>
      <c r="L24" s="4" t="n">
        <f aca="false">L22+L23</f>
        <v>34989150.38</v>
      </c>
      <c r="M24" s="4" t="n">
        <f aca="false">M22+M23</f>
        <v>35843680.37</v>
      </c>
      <c r="N24" s="4" t="n">
        <f aca="false">N22+N23</f>
        <v>36241492.67</v>
      </c>
      <c r="O24" s="4" t="n">
        <f aca="false">O22+O23</f>
        <v>37731854.29</v>
      </c>
      <c r="P24" s="4" t="n">
        <f aca="false">P22+P23</f>
        <v>37475783.81</v>
      </c>
      <c r="Q24" s="4" t="n">
        <f aca="false">Q22+Q23</f>
        <v>37505602.44</v>
      </c>
      <c r="R24" s="4" t="n">
        <f aca="false">R22+R23</f>
        <v>37422079.47</v>
      </c>
      <c r="S24" s="4" t="n">
        <f aca="false">S22+S23</f>
        <v>37128909.38</v>
      </c>
      <c r="T24" s="4" t="n">
        <f aca="false">T22+T23</f>
        <v>38412390.6</v>
      </c>
      <c r="U24" s="4" t="n">
        <f aca="false">U22+U23</f>
        <v>38824686.92</v>
      </c>
      <c r="V24" s="4" t="n">
        <f aca="false">V22+V23</f>
        <v>33588854.15</v>
      </c>
      <c r="W24" s="4" t="n">
        <f aca="false">W22+W23</f>
        <v>36088587.76</v>
      </c>
      <c r="X24" s="4" t="n">
        <f aca="false">X22+X23</f>
        <v>36752390.84</v>
      </c>
      <c r="Y24" s="4" t="n">
        <f aca="false">Y22+Y23</f>
        <v>37050685.65</v>
      </c>
      <c r="Z24" s="4" t="n">
        <f aca="false">Z22+Z23</f>
        <v>37681436.65</v>
      </c>
      <c r="AA24" s="4" t="n">
        <f aca="false">AA22+AA23</f>
        <v>38606215.9</v>
      </c>
      <c r="AB24" s="4" t="n">
        <f aca="false">AB22+AB23</f>
        <v>38580678.49</v>
      </c>
      <c r="AC24" s="4" t="n">
        <f aca="false">J24</f>
        <v>33523147.42</v>
      </c>
      <c r="AD24" s="4" t="n">
        <f aca="false">V24</f>
        <v>33588854.15</v>
      </c>
      <c r="AE24" s="4" t="n">
        <f aca="false">AB24</f>
        <v>38580678.49</v>
      </c>
    </row>
    <row r="26" customFormat="false" ht="15" hidden="false" customHeight="false" outlineLevel="0" collapsed="false">
      <c r="A26" s="2" t="s">
        <v>84</v>
      </c>
      <c r="B26" s="4" t="n">
        <f aca="false">B16-B24</f>
        <v>0</v>
      </c>
      <c r="C26" s="4" t="n">
        <f aca="false">C16-C24</f>
        <v>0</v>
      </c>
      <c r="D26" s="4" t="n">
        <f aca="false">D16-D24</f>
        <v>0</v>
      </c>
      <c r="E26" s="4" t="n">
        <f aca="false">E16-E24</f>
        <v>0</v>
      </c>
      <c r="F26" s="4" t="n">
        <f aca="false">F16-F24</f>
        <v>0</v>
      </c>
      <c r="G26" s="4" t="n">
        <f aca="false">G16-G24</f>
        <v>0</v>
      </c>
      <c r="H26" s="4" t="n">
        <f aca="false">H16-H24</f>
        <v>0</v>
      </c>
      <c r="I26" s="4" t="n">
        <f aca="false">I16-I24</f>
        <v>0</v>
      </c>
      <c r="J26" s="4" t="n">
        <f aca="false">J16-J24</f>
        <v>0</v>
      </c>
      <c r="K26" s="4" t="n">
        <f aca="false">K16-K24</f>
        <v>0</v>
      </c>
      <c r="L26" s="4" t="n">
        <f aca="false">L16-L24</f>
        <v>0</v>
      </c>
      <c r="M26" s="4" t="n">
        <f aca="false">M16-M24</f>
        <v>0</v>
      </c>
      <c r="N26" s="4" t="n">
        <f aca="false">N16-N24</f>
        <v>0</v>
      </c>
      <c r="O26" s="4" t="n">
        <f aca="false">O16-O24</f>
        <v>0</v>
      </c>
      <c r="P26" s="4" t="n">
        <f aca="false">P16-P24</f>
        <v>0</v>
      </c>
      <c r="Q26" s="4" t="n">
        <f aca="false">Q16-Q24</f>
        <v>0</v>
      </c>
      <c r="R26" s="4" t="n">
        <f aca="false">R16-R24</f>
        <v>0</v>
      </c>
      <c r="S26" s="4" t="n">
        <f aca="false">S16-S24</f>
        <v>0</v>
      </c>
      <c r="T26" s="4" t="n">
        <f aca="false">T16-T24</f>
        <v>0</v>
      </c>
      <c r="U26" s="4" t="n">
        <f aca="false">U16-U24</f>
        <v>0</v>
      </c>
      <c r="V26" s="4" t="n">
        <f aca="false">V16-V24</f>
        <v>0</v>
      </c>
      <c r="W26" s="4" t="n">
        <f aca="false">W16-W24</f>
        <v>0</v>
      </c>
      <c r="X26" s="4" t="n">
        <f aca="false">X16-X24</f>
        <v>0</v>
      </c>
      <c r="Y26" s="4" t="n">
        <f aca="false">Y16-Y24</f>
        <v>0</v>
      </c>
      <c r="Z26" s="4" t="n">
        <f aca="false">Z16-Z24</f>
        <v>0</v>
      </c>
      <c r="AA26" s="4" t="n">
        <f aca="false">AA16-AA24</f>
        <v>0</v>
      </c>
      <c r="AB26" s="4" t="n">
        <f aca="false">AB16-AB24</f>
        <v>0</v>
      </c>
      <c r="AC26" s="4" t="n">
        <f aca="false">J26</f>
        <v>0</v>
      </c>
      <c r="AD26" s="4" t="n">
        <f aca="false">V26</f>
        <v>0</v>
      </c>
      <c r="AE26" s="4" t="n">
        <f aca="false">AB26</f>
        <v>0</v>
      </c>
    </row>
    <row r="28" customFormat="false" ht="15" hidden="false" customHeight="false" outlineLevel="0" collapsed="false">
      <c r="A28" s="2" t="s">
        <v>85</v>
      </c>
    </row>
    <row r="29" customFormat="false" ht="15" hidden="false" customHeight="false" outlineLevel="0" collapsed="false">
      <c r="A29" s="0" t="s">
        <v>86</v>
      </c>
      <c r="B29" s="3" t="n">
        <v>27766697.67</v>
      </c>
      <c r="C29" s="4" t="n">
        <f aca="false">B33</f>
        <v>27600097.48</v>
      </c>
      <c r="D29" s="4" t="n">
        <f aca="false">C33</f>
        <v>27434496.9</v>
      </c>
      <c r="E29" s="4" t="n">
        <f aca="false">D33</f>
        <v>27269889.92</v>
      </c>
      <c r="F29" s="4" t="n">
        <f aca="false">E33</f>
        <v>27106270.58</v>
      </c>
      <c r="G29" s="4" t="n">
        <f aca="false">F33</f>
        <v>26943632.96</v>
      </c>
      <c r="H29" s="4" t="n">
        <f aca="false">G33</f>
        <v>26781971.16</v>
      </c>
      <c r="I29" s="4" t="n">
        <f aca="false">H33</f>
        <v>26621279.33</v>
      </c>
      <c r="J29" s="4" t="n">
        <f aca="false">I33</f>
        <v>26461551.65</v>
      </c>
      <c r="K29" s="4" t="n">
        <f aca="false">J33</f>
        <v>26302782.34</v>
      </c>
      <c r="L29" s="4" t="n">
        <f aca="false">K33</f>
        <v>26144965.65</v>
      </c>
      <c r="M29" s="4" t="n">
        <f aca="false">L33</f>
        <v>25988095.86</v>
      </c>
      <c r="N29" s="4" t="n">
        <f aca="false">M33</f>
        <v>25832167.28</v>
      </c>
      <c r="O29" s="4" t="n">
        <f aca="false">N33</f>
        <v>25677174.28</v>
      </c>
      <c r="P29" s="4" t="n">
        <f aca="false">O33</f>
        <v>25523111.23</v>
      </c>
      <c r="Q29" s="4" t="n">
        <f aca="false">P33</f>
        <v>25369972.56</v>
      </c>
      <c r="R29" s="4" t="n">
        <f aca="false">Q33</f>
        <v>25217752.72</v>
      </c>
      <c r="S29" s="4" t="n">
        <f aca="false">R33</f>
        <v>25066446.2</v>
      </c>
      <c r="T29" s="4" t="n">
        <f aca="false">S33</f>
        <v>24916047.52</v>
      </c>
      <c r="U29" s="4" t="n">
        <f aca="false">T33</f>
        <v>24766551.23</v>
      </c>
      <c r="V29" s="4" t="n">
        <f aca="false">U33</f>
        <v>24617951.92</v>
      </c>
      <c r="W29" s="4" t="n">
        <f aca="false">V33</f>
        <v>24470244.21</v>
      </c>
      <c r="X29" s="4" t="n">
        <f aca="false">W33</f>
        <v>24323422.74</v>
      </c>
      <c r="Y29" s="4" t="n">
        <f aca="false">X33</f>
        <v>24177482.2</v>
      </c>
      <c r="Z29" s="4" t="n">
        <f aca="false">Y33</f>
        <v>24032417.31</v>
      </c>
      <c r="AA29" s="4" t="n">
        <f aca="false">Z33</f>
        <v>23888222.81</v>
      </c>
      <c r="AB29" s="4" t="n">
        <f aca="false">AA33</f>
        <v>23744893.47</v>
      </c>
      <c r="AC29" s="6" t="n">
        <f aca="false">B29</f>
        <v>27766697.67</v>
      </c>
      <c r="AD29" s="6" t="n">
        <f aca="false">K29</f>
        <v>26302782.34</v>
      </c>
      <c r="AE29" s="6" t="n">
        <f aca="false">W29</f>
        <v>24470244.21</v>
      </c>
    </row>
    <row r="30" customFormat="false" ht="15" hidden="false" customHeight="false" outlineLevel="0" collapsed="false">
      <c r="A30" s="0" t="s">
        <v>87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4" t="n">
        <f aca="false">SUM(B30:J30)</f>
        <v>0</v>
      </c>
      <c r="AD30" s="4" t="n">
        <f aca="false">SUM(K30:V30)</f>
        <v>0</v>
      </c>
      <c r="AE30" s="4" t="n">
        <f aca="false">SUM(W30:AB30)</f>
        <v>0</v>
      </c>
    </row>
    <row r="31" customFormat="false" ht="15" hidden="false" customHeight="false" outlineLevel="0" collapsed="false">
      <c r="A31" s="0" t="s">
        <v>88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4" t="n">
        <f aca="false">SUM(B31:J31)</f>
        <v>0</v>
      </c>
      <c r="AD31" s="4" t="n">
        <f aca="false">SUM(K31:V31)</f>
        <v>0</v>
      </c>
      <c r="AE31" s="4" t="n">
        <f aca="false">SUM(W31:AB31)</f>
        <v>0</v>
      </c>
    </row>
    <row r="32" customFormat="false" ht="15" hidden="false" customHeight="false" outlineLevel="0" collapsed="false">
      <c r="A32" s="0" t="s">
        <v>89</v>
      </c>
      <c r="B32" s="3" t="n">
        <v>-166600.19</v>
      </c>
      <c r="C32" s="3" t="n">
        <v>-165600.58</v>
      </c>
      <c r="D32" s="3" t="n">
        <v>-164606.98</v>
      </c>
      <c r="E32" s="3" t="n">
        <v>-163619.34</v>
      </c>
      <c r="F32" s="3" t="n">
        <v>-162637.62</v>
      </c>
      <c r="G32" s="3" t="n">
        <v>-161661.8</v>
      </c>
      <c r="H32" s="3" t="n">
        <v>-160691.83</v>
      </c>
      <c r="I32" s="3" t="n">
        <v>-159727.68</v>
      </c>
      <c r="J32" s="3" t="n">
        <v>-158769.31</v>
      </c>
      <c r="K32" s="3" t="n">
        <v>-157816.69</v>
      </c>
      <c r="L32" s="3" t="n">
        <v>-156869.79</v>
      </c>
      <c r="M32" s="3" t="n">
        <v>-155928.58</v>
      </c>
      <c r="N32" s="3" t="n">
        <v>-154993</v>
      </c>
      <c r="O32" s="3" t="n">
        <v>-154063.05</v>
      </c>
      <c r="P32" s="3" t="n">
        <v>-153138.67</v>
      </c>
      <c r="Q32" s="3" t="n">
        <v>-152219.84</v>
      </c>
      <c r="R32" s="3" t="n">
        <v>-151306.52</v>
      </c>
      <c r="S32" s="3" t="n">
        <v>-150398.68</v>
      </c>
      <c r="T32" s="3" t="n">
        <v>-149496.29</v>
      </c>
      <c r="U32" s="3" t="n">
        <v>-148599.31</v>
      </c>
      <c r="V32" s="3" t="n">
        <v>-147707.71</v>
      </c>
      <c r="W32" s="3" t="n">
        <v>-146821.47</v>
      </c>
      <c r="X32" s="3" t="n">
        <v>-145940.54</v>
      </c>
      <c r="Y32" s="3" t="n">
        <v>-145064.89</v>
      </c>
      <c r="Z32" s="3" t="n">
        <v>-144194.5</v>
      </c>
      <c r="AA32" s="3" t="n">
        <v>-143329.34</v>
      </c>
      <c r="AB32" s="3" t="n">
        <v>-142469.36</v>
      </c>
      <c r="AC32" s="4" t="n">
        <f aca="false">SUM(B32:J32)</f>
        <v>-1463915.33</v>
      </c>
      <c r="AD32" s="4" t="n">
        <f aca="false">SUM(K32:V32)</f>
        <v>-1832538.13</v>
      </c>
      <c r="AE32" s="4" t="n">
        <f aca="false">SUM(W32:AB32)</f>
        <v>-867820.1</v>
      </c>
    </row>
    <row r="33" customFormat="false" ht="15" hidden="false" customHeight="false" outlineLevel="0" collapsed="false">
      <c r="A33" s="2" t="s">
        <v>90</v>
      </c>
      <c r="B33" s="4" t="n">
        <f aca="false">B29+B30+B31+B32</f>
        <v>27600097.48</v>
      </c>
      <c r="C33" s="4" t="n">
        <f aca="false">C29+C30+C31+C32</f>
        <v>27434496.9</v>
      </c>
      <c r="D33" s="4" t="n">
        <f aca="false">D29+D30+D31+D32</f>
        <v>27269889.92</v>
      </c>
      <c r="E33" s="4" t="n">
        <f aca="false">E29+E30+E31+E32</f>
        <v>27106270.58</v>
      </c>
      <c r="F33" s="4" t="n">
        <f aca="false">F29+F30+F31+F32</f>
        <v>26943632.96</v>
      </c>
      <c r="G33" s="4" t="n">
        <f aca="false">G29+G30+G31+G32</f>
        <v>26781971.16</v>
      </c>
      <c r="H33" s="4" t="n">
        <f aca="false">H29+H30+H31+H32</f>
        <v>26621279.33</v>
      </c>
      <c r="I33" s="4" t="n">
        <f aca="false">I29+I30+I31+I32</f>
        <v>26461551.65</v>
      </c>
      <c r="J33" s="4" t="n">
        <f aca="false">J29+J30+J31+J32</f>
        <v>26302782.34</v>
      </c>
      <c r="K33" s="4" t="n">
        <f aca="false">K29+K30+K31+K32</f>
        <v>26144965.65</v>
      </c>
      <c r="L33" s="4" t="n">
        <f aca="false">L29+L30+L31+L32</f>
        <v>25988095.86</v>
      </c>
      <c r="M33" s="4" t="n">
        <f aca="false">M29+M30+M31+M32</f>
        <v>25832167.28</v>
      </c>
      <c r="N33" s="4" t="n">
        <f aca="false">N29+N30+N31+N32</f>
        <v>25677174.28</v>
      </c>
      <c r="O33" s="4" t="n">
        <f aca="false">O29+O30+O31+O32</f>
        <v>25523111.23</v>
      </c>
      <c r="P33" s="4" t="n">
        <f aca="false">P29+P30+P31+P32</f>
        <v>25369972.56</v>
      </c>
      <c r="Q33" s="4" t="n">
        <f aca="false">Q29+Q30+Q31+Q32</f>
        <v>25217752.72</v>
      </c>
      <c r="R33" s="4" t="n">
        <f aca="false">R29+R30+R31+R32</f>
        <v>25066446.2</v>
      </c>
      <c r="S33" s="4" t="n">
        <f aca="false">S29+S30+S31+S32</f>
        <v>24916047.52</v>
      </c>
      <c r="T33" s="4" t="n">
        <f aca="false">T29+T30+T31+T32</f>
        <v>24766551.23</v>
      </c>
      <c r="U33" s="4" t="n">
        <f aca="false">U29+U30+U31+U32</f>
        <v>24617951.92</v>
      </c>
      <c r="V33" s="4" t="n">
        <f aca="false">V29+V30+V31+V32</f>
        <v>24470244.21</v>
      </c>
      <c r="W33" s="4" t="n">
        <f aca="false">W29+W30+W31+W32</f>
        <v>24323422.74</v>
      </c>
      <c r="X33" s="4" t="n">
        <f aca="false">X29+X30+X31+X32</f>
        <v>24177482.2</v>
      </c>
      <c r="Y33" s="4" t="n">
        <f aca="false">Y29+Y30+Y31+Y32</f>
        <v>24032417.31</v>
      </c>
      <c r="Z33" s="4" t="n">
        <f aca="false">Z29+Z30+Z31+Z32</f>
        <v>23888222.81</v>
      </c>
      <c r="AA33" s="4" t="n">
        <f aca="false">AA29+AA30+AA31+AA32</f>
        <v>23744893.47</v>
      </c>
      <c r="AB33" s="4" t="n">
        <f aca="false">AB29+AB30+AB31+AB32</f>
        <v>23602424.11</v>
      </c>
      <c r="AC33" s="4" t="n">
        <f aca="false">J33</f>
        <v>26302782.34</v>
      </c>
      <c r="AD33" s="4" t="n">
        <f aca="false">V33</f>
        <v>24470244.21</v>
      </c>
      <c r="AE33" s="4" t="n">
        <f aca="false">AB33</f>
        <v>23602424.11</v>
      </c>
    </row>
    <row r="34" customFormat="false" ht="15" hidden="false" customHeight="false" outlineLevel="0" collapsed="false">
      <c r="A34" s="7" t="s">
        <v>91</v>
      </c>
      <c r="B34" s="4" t="n">
        <f aca="false">B8</f>
        <v>2964886</v>
      </c>
      <c r="C34" s="4" t="n">
        <f aca="false">C8</f>
        <v>3055520.87</v>
      </c>
      <c r="D34" s="4" t="n">
        <f aca="false">D8</f>
        <v>3150094.05</v>
      </c>
      <c r="E34" s="4" t="n">
        <f aca="false">E8</f>
        <v>3231341.87</v>
      </c>
      <c r="F34" s="4" t="n">
        <f aca="false">F8</f>
        <v>3321066.11</v>
      </c>
      <c r="G34" s="4" t="n">
        <f aca="false">G8</f>
        <v>3398103.06</v>
      </c>
      <c r="H34" s="4" t="n">
        <f aca="false">H8</f>
        <v>3492347.01</v>
      </c>
      <c r="I34" s="4" t="n">
        <f aca="false">I8</f>
        <v>3595595.7</v>
      </c>
      <c r="J34" s="4" t="n">
        <f aca="false">J8</f>
        <v>3654846.29</v>
      </c>
      <c r="K34" s="4" t="n">
        <f aca="false">K8</f>
        <v>3729670.11</v>
      </c>
      <c r="L34" s="4" t="n">
        <f aca="false">L8</f>
        <v>3813769.3</v>
      </c>
      <c r="M34" s="4" t="n">
        <f aca="false">M8</f>
        <v>3909524.75</v>
      </c>
      <c r="N34" s="4" t="n">
        <f aca="false">N8</f>
        <v>4001149.28</v>
      </c>
      <c r="O34" s="4" t="n">
        <f aca="false">O8</f>
        <v>4099807.17</v>
      </c>
      <c r="P34" s="4" t="n">
        <f aca="false">P8</f>
        <v>4209221.37</v>
      </c>
      <c r="Q34" s="4" t="n">
        <f aca="false">Q8</f>
        <v>4311540.91</v>
      </c>
      <c r="R34" s="4" t="n">
        <f aca="false">R8</f>
        <v>4398195.28</v>
      </c>
      <c r="S34" s="4" t="n">
        <f aca="false">S8</f>
        <v>4492101.01</v>
      </c>
      <c r="T34" s="4" t="n">
        <f aca="false">T8</f>
        <v>4597091.93</v>
      </c>
      <c r="U34" s="4" t="n">
        <f aca="false">U8</f>
        <v>4692215.37</v>
      </c>
      <c r="V34" s="4" t="n">
        <f aca="false">V8</f>
        <v>4758467.46</v>
      </c>
      <c r="W34" s="4" t="n">
        <f aca="false">W8</f>
        <v>4842208.58</v>
      </c>
      <c r="X34" s="4" t="n">
        <f aca="false">X8</f>
        <v>4923308.31</v>
      </c>
      <c r="Y34" s="4" t="n">
        <f aca="false">Y8</f>
        <v>5011670.26</v>
      </c>
      <c r="Z34" s="4" t="n">
        <f aca="false">Z8</f>
        <v>5116778.85</v>
      </c>
      <c r="AA34" s="4" t="n">
        <f aca="false">AA8</f>
        <v>5219088.34</v>
      </c>
      <c r="AB34" s="4" t="n">
        <f aca="false">AB8</f>
        <v>5318177.16</v>
      </c>
      <c r="AC34" s="4" t="n">
        <f aca="false">J34</f>
        <v>3654846.29</v>
      </c>
      <c r="AD34" s="4" t="n">
        <f aca="false">V34</f>
        <v>4758467.46</v>
      </c>
      <c r="AE34" s="4" t="n">
        <f aca="false">AB34</f>
        <v>5318177.16</v>
      </c>
    </row>
    <row r="35" customFormat="false" ht="15" hidden="false" customHeight="false" outlineLevel="0" collapsed="false">
      <c r="A35" s="2" t="s">
        <v>92</v>
      </c>
      <c r="B35" s="4" t="n">
        <f aca="false">B33-B34</f>
        <v>24635211.48</v>
      </c>
      <c r="C35" s="4" t="n">
        <f aca="false">C33-C34</f>
        <v>24378976.03</v>
      </c>
      <c r="D35" s="4" t="n">
        <f aca="false">D33-D34</f>
        <v>24119795.87</v>
      </c>
      <c r="E35" s="4" t="n">
        <f aca="false">E33-E34</f>
        <v>23874928.71</v>
      </c>
      <c r="F35" s="4" t="n">
        <f aca="false">F33-F34</f>
        <v>23622566.85</v>
      </c>
      <c r="G35" s="4" t="n">
        <f aca="false">G33-G34</f>
        <v>23383868.1</v>
      </c>
      <c r="H35" s="4" t="n">
        <f aca="false">H33-H34</f>
        <v>23128932.32</v>
      </c>
      <c r="I35" s="4" t="n">
        <f aca="false">I33-I34</f>
        <v>22865955.95</v>
      </c>
      <c r="J35" s="4" t="n">
        <f aca="false">J33-J34</f>
        <v>22647936.05</v>
      </c>
      <c r="K35" s="4" t="n">
        <f aca="false">K33-K34</f>
        <v>22415295.54</v>
      </c>
      <c r="L35" s="4" t="n">
        <f aca="false">L33-L34</f>
        <v>22174326.56</v>
      </c>
      <c r="M35" s="4" t="n">
        <f aca="false">M33-M34</f>
        <v>21922642.53</v>
      </c>
      <c r="N35" s="4" t="n">
        <f aca="false">N33-N34</f>
        <v>21676025</v>
      </c>
      <c r="O35" s="4" t="n">
        <f aca="false">O33-O34</f>
        <v>21423304.06</v>
      </c>
      <c r="P35" s="4" t="n">
        <f aca="false">P33-P34</f>
        <v>21160751.19</v>
      </c>
      <c r="Q35" s="4" t="n">
        <f aca="false">Q33-Q34</f>
        <v>20906211.81</v>
      </c>
      <c r="R35" s="4" t="n">
        <f aca="false">R33-R34</f>
        <v>20668250.92</v>
      </c>
      <c r="S35" s="4" t="n">
        <f aca="false">S33-S34</f>
        <v>20423946.51</v>
      </c>
      <c r="T35" s="4" t="n">
        <f aca="false">T33-T34</f>
        <v>20169459.3</v>
      </c>
      <c r="U35" s="4" t="n">
        <f aca="false">U33-U34</f>
        <v>19925736.55</v>
      </c>
      <c r="V35" s="4" t="n">
        <f aca="false">V33-V34</f>
        <v>19711776.75</v>
      </c>
      <c r="W35" s="4" t="n">
        <f aca="false">W33-W34</f>
        <v>19481214.16</v>
      </c>
      <c r="X35" s="4" t="n">
        <f aca="false">X33-X34</f>
        <v>19254173.89</v>
      </c>
      <c r="Y35" s="4" t="n">
        <f aca="false">Y33-Y34</f>
        <v>19020747.05</v>
      </c>
      <c r="Z35" s="4" t="n">
        <f aca="false">Z33-Z34</f>
        <v>18771443.96</v>
      </c>
      <c r="AA35" s="4" t="n">
        <f aca="false">AA33-AA34</f>
        <v>18525805.13</v>
      </c>
      <c r="AB35" s="4" t="n">
        <f aca="false">AB33-AB34</f>
        <v>18284246.95</v>
      </c>
      <c r="AC35" s="4" t="n">
        <f aca="false">J35</f>
        <v>22647936.05</v>
      </c>
      <c r="AD35" s="4" t="n">
        <f aca="false">V35</f>
        <v>19711776.75</v>
      </c>
      <c r="AE35" s="4" t="n">
        <f aca="false">AB35</f>
        <v>18284246.95</v>
      </c>
    </row>
    <row r="36" customFormat="false" ht="15" hidden="false" customHeight="false" outlineLevel="0" collapsed="false">
      <c r="A36" s="0" t="s">
        <v>93</v>
      </c>
      <c r="B36" s="3" t="n">
        <v>10844336.25</v>
      </c>
      <c r="C36" s="3" t="n">
        <v>11003184.01</v>
      </c>
      <c r="D36" s="3" t="n">
        <v>11152546.44</v>
      </c>
      <c r="E36" s="3" t="n">
        <v>11085285.58</v>
      </c>
      <c r="F36" s="3" t="n">
        <v>11410215.98</v>
      </c>
      <c r="G36" s="3" t="n">
        <v>11549786.67</v>
      </c>
      <c r="H36" s="3" t="n">
        <v>11759301.88</v>
      </c>
      <c r="I36" s="3" t="n">
        <v>12047872.22</v>
      </c>
      <c r="J36" s="3" t="n">
        <v>12228608.73</v>
      </c>
      <c r="K36" s="3" t="n">
        <v>12394316.64</v>
      </c>
      <c r="L36" s="3" t="n">
        <v>12500341.45</v>
      </c>
      <c r="M36" s="4" t="n">
        <f aca="false">SUM('Income Statement'!B40:M40)</f>
        <v>12771497.39</v>
      </c>
      <c r="N36" s="4" t="n">
        <f aca="false">SUM('Income Statement'!C40:N40)</f>
        <v>12953291.2</v>
      </c>
      <c r="O36" s="4" t="n">
        <f aca="false">SUM('Income Statement'!D40:O40)</f>
        <v>13053578.92</v>
      </c>
      <c r="P36" s="4" t="n">
        <f aca="false">SUM('Income Statement'!E40:P40)</f>
        <v>13239091.67</v>
      </c>
      <c r="Q36" s="4" t="n">
        <f aca="false">SUM('Income Statement'!F40:Q40)</f>
        <v>13502488.06</v>
      </c>
      <c r="R36" s="4" t="n">
        <f aca="false">SUM('Income Statement'!G40:R40)</f>
        <v>13464114.68</v>
      </c>
      <c r="S36" s="4" t="n">
        <f aca="false">SUM('Income Statement'!H40:S40)</f>
        <v>13674974.37</v>
      </c>
      <c r="T36" s="4" t="n">
        <f aca="false">SUM('Income Statement'!I40:T40)</f>
        <v>13809311.43</v>
      </c>
      <c r="U36" s="4" t="n">
        <f aca="false">SUM('Income Statement'!J40:U40)</f>
        <v>13707745.75</v>
      </c>
      <c r="V36" s="4" t="n">
        <f aca="false">SUM('Income Statement'!K40:V40)</f>
        <v>13795264.48</v>
      </c>
      <c r="W36" s="4" t="n">
        <f aca="false">SUM('Income Statement'!L40:W40)</f>
        <v>13906730.74</v>
      </c>
      <c r="X36" s="4" t="n">
        <f aca="false">SUM('Income Statement'!M40:X40)</f>
        <v>13869237.56</v>
      </c>
      <c r="Y36" s="4" t="n">
        <f aca="false">SUM('Income Statement'!N40:Y40)</f>
        <v>13776818.76</v>
      </c>
      <c r="Z36" s="4" t="n">
        <f aca="false">SUM('Income Statement'!O40:Z40)</f>
        <v>13945369.61</v>
      </c>
      <c r="AA36" s="4" t="n">
        <f aca="false">SUM('Income Statement'!P40:AA40)</f>
        <v>13991014.62</v>
      </c>
      <c r="AB36" s="4" t="n">
        <f aca="false">SUM('Income Statement'!Q40:AB40)</f>
        <v>13861947.33</v>
      </c>
      <c r="AC36" s="6" t="n">
        <f aca="false">J36</f>
        <v>12228608.73</v>
      </c>
      <c r="AD36" s="6" t="n">
        <f aca="false">V36</f>
        <v>13795264.48</v>
      </c>
      <c r="AE36" s="6" t="n">
        <f aca="false">AB36</f>
        <v>13861947.33</v>
      </c>
    </row>
    <row r="37" customFormat="false" ht="15" hidden="false" customHeight="false" outlineLevel="0" collapsed="false">
      <c r="A37" s="2" t="s">
        <v>94</v>
      </c>
      <c r="B37" s="8" t="n">
        <f aca="false">IF(B36=0,"",B35/B36)</f>
        <v>2.27171224794879</v>
      </c>
      <c r="C37" s="8" t="n">
        <f aca="false">IF(C36=0,"",C35/C36)</f>
        <v>2.2156292222182</v>
      </c>
      <c r="D37" s="8" t="n">
        <f aca="false">IF(D36=0,"",D35/D36)</f>
        <v>2.1627164701589</v>
      </c>
      <c r="E37" s="8" t="n">
        <f aca="false">IF(E36=0,"",E35/E36)</f>
        <v>2.15374953921575</v>
      </c>
      <c r="F37" s="8" t="n">
        <f aca="false">IF(F36=0,"",F35/F36)</f>
        <v>2.07029971136445</v>
      </c>
      <c r="G37" s="8" t="n">
        <f aca="false">IF(G36=0,"",G35/G36)</f>
        <v>2.02461471957213</v>
      </c>
      <c r="H37" s="8" t="n">
        <f aca="false">IF(H36=0,"",H35/H36)</f>
        <v>1.96686270630889</v>
      </c>
      <c r="I37" s="8" t="n">
        <f aca="false">IF(I36=0,"",I35/I36)</f>
        <v>1.89792483954482</v>
      </c>
      <c r="J37" s="8" t="n">
        <f aca="false">IF(J36=0,"",J35/J36)</f>
        <v>1.85204519582335</v>
      </c>
      <c r="K37" s="8" t="n">
        <f aca="false">IF(K36=0,"",K35/K36)</f>
        <v>1.80851403034673</v>
      </c>
      <c r="L37" s="8" t="n">
        <f aca="false">IF(L36=0,"",L35/L36)</f>
        <v>1.77389766901127</v>
      </c>
      <c r="M37" s="8" t="n">
        <f aca="false">IF(M36=0,"",M35/M36)</f>
        <v>1.71652875622598</v>
      </c>
      <c r="N37" s="8" t="n">
        <f aca="false">IF(N36=0,"",N35/N36)</f>
        <v>1.67339903545132</v>
      </c>
      <c r="O37" s="8" t="n">
        <f aca="false">IF(O36=0,"",O35/O36)</f>
        <v>1.64118240608913</v>
      </c>
      <c r="P37" s="8" t="n">
        <f aca="false">IF(P36=0,"",P35/P36)</f>
        <v>1.59835370261471</v>
      </c>
      <c r="Q37" s="8" t="n">
        <f aca="false">IF(Q36=0,"",Q35/Q36)</f>
        <v>1.54832292516021</v>
      </c>
      <c r="R37" s="8" t="n">
        <f aca="false">IF(R36=0,"",R35/R36)</f>
        <v>1.53506200825081</v>
      </c>
      <c r="S37" s="8" t="n">
        <f aca="false">IF(S36=0,"",S35/S36)</f>
        <v>1.49352722406602</v>
      </c>
      <c r="T37" s="8" t="n">
        <f aca="false">IF(T36=0,"",T35/T36)</f>
        <v>1.46056951515938</v>
      </c>
      <c r="U37" s="8" t="n">
        <f aca="false">IF(U36=0,"",U35/U36)</f>
        <v>1.45361147729195</v>
      </c>
      <c r="V37" s="8" t="n">
        <f aca="false">IF(V36=0,"",V35/V36)</f>
        <v>1.42887994489541</v>
      </c>
      <c r="W37" s="8" t="n">
        <f aca="false">IF(W36=0,"",W35/W36)</f>
        <v>1.4008478717407</v>
      </c>
      <c r="X37" s="8" t="n">
        <f aca="false">IF(X36=0,"",X35/X36)</f>
        <v>1.38826476990564</v>
      </c>
      <c r="Y37" s="8" t="n">
        <f aca="false">IF(Y36=0,"",Y35/Y36)</f>
        <v>1.38063419294049</v>
      </c>
      <c r="Z37" s="8" t="n">
        <f aca="false">IF(Z36=0,"",Z35/Z36)</f>
        <v>1.34607002072855</v>
      </c>
      <c r="AA37" s="8" t="n">
        <f aca="false">IF(AA36=0,"",AA35/AA36)</f>
        <v>1.32412163328867</v>
      </c>
      <c r="AB37" s="8" t="n">
        <f aca="false">IF(AB36=0,"",AB35/AB36)</f>
        <v>1.31902441372211</v>
      </c>
      <c r="AC37" s="8" t="n">
        <f aca="false">J37</f>
        <v>1.85204519582335</v>
      </c>
      <c r="AD37" s="8" t="n">
        <f aca="false">V37</f>
        <v>1.42887994489541</v>
      </c>
      <c r="AE37" s="8" t="n">
        <f aca="false">AB37</f>
        <v>1.31902441372211</v>
      </c>
    </row>
    <row r="38" customFormat="false" ht="15" hidden="false" customHeight="false" outlineLevel="0" collapsed="false">
      <c r="A38" s="0" t="s">
        <v>95</v>
      </c>
      <c r="B38" s="9" t="n">
        <v>5</v>
      </c>
      <c r="C38" s="9" t="n">
        <v>5</v>
      </c>
      <c r="D38" s="9" t="n">
        <v>5</v>
      </c>
      <c r="E38" s="9" t="n">
        <v>5</v>
      </c>
      <c r="F38" s="9" t="n">
        <v>5</v>
      </c>
      <c r="G38" s="9" t="n">
        <v>5</v>
      </c>
      <c r="H38" s="9" t="n">
        <v>5</v>
      </c>
      <c r="I38" s="9" t="n">
        <v>5</v>
      </c>
      <c r="J38" s="9" t="n">
        <v>5</v>
      </c>
      <c r="K38" s="9" t="n">
        <v>5</v>
      </c>
      <c r="L38" s="9" t="n">
        <v>5</v>
      </c>
      <c r="M38" s="9" t="n">
        <v>5</v>
      </c>
      <c r="N38" s="9" t="n">
        <v>5</v>
      </c>
      <c r="O38" s="9" t="n">
        <v>5</v>
      </c>
      <c r="P38" s="9" t="n">
        <v>5</v>
      </c>
      <c r="Q38" s="9" t="n">
        <v>5</v>
      </c>
      <c r="R38" s="9" t="n">
        <v>5</v>
      </c>
      <c r="S38" s="9" t="n">
        <v>5</v>
      </c>
      <c r="T38" s="9" t="n">
        <v>5</v>
      </c>
      <c r="U38" s="9" t="n">
        <v>5</v>
      </c>
      <c r="V38" s="9" t="n">
        <v>5</v>
      </c>
      <c r="W38" s="9" t="n">
        <v>5</v>
      </c>
      <c r="X38" s="9" t="n">
        <v>5</v>
      </c>
      <c r="Y38" s="9" t="n">
        <v>5</v>
      </c>
      <c r="Z38" s="9" t="n">
        <v>5</v>
      </c>
      <c r="AA38" s="9" t="n">
        <v>5</v>
      </c>
      <c r="AB38" s="9" t="n">
        <v>5</v>
      </c>
      <c r="AC38" s="10" t="n">
        <f aca="false">J38</f>
        <v>5</v>
      </c>
      <c r="AD38" s="10" t="n">
        <f aca="false">V38</f>
        <v>5</v>
      </c>
      <c r="AE38" s="10" t="n">
        <f aca="false">AB38</f>
        <v>5</v>
      </c>
    </row>
    <row r="40" customFormat="false" ht="15" hidden="false" customHeight="false" outlineLevel="0" collapsed="false">
      <c r="A40" s="2" t="s">
        <v>96</v>
      </c>
    </row>
    <row r="41" customFormat="false" ht="15" hidden="false" customHeight="false" outlineLevel="0" collapsed="false">
      <c r="A41" s="0" t="s">
        <v>97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131411.62</v>
      </c>
      <c r="L41" s="3" t="n">
        <v>215144.02</v>
      </c>
      <c r="M41" s="3" t="n">
        <v>236757.36</v>
      </c>
      <c r="N41" s="3" t="n">
        <v>227728.61</v>
      </c>
      <c r="O41" s="3" t="n">
        <v>233881.77</v>
      </c>
      <c r="P41" s="3" t="n">
        <v>224945.78</v>
      </c>
      <c r="Q41" s="3" t="n">
        <v>231006.17</v>
      </c>
      <c r="R41" s="3" t="n">
        <v>229568.38</v>
      </c>
      <c r="S41" s="3" t="n">
        <v>220771.53</v>
      </c>
      <c r="T41" s="3" t="n">
        <v>226692.78</v>
      </c>
      <c r="U41" s="3" t="n">
        <v>217988.69</v>
      </c>
      <c r="V41" s="3" t="n">
        <v>223817.18</v>
      </c>
      <c r="W41" s="3" t="n">
        <v>222379.39</v>
      </c>
      <c r="X41" s="3" t="n">
        <v>199560.15</v>
      </c>
      <c r="Y41" s="3" t="n">
        <v>219503.79</v>
      </c>
      <c r="Z41" s="3" t="n">
        <v>211031.61</v>
      </c>
      <c r="AA41" s="3" t="n">
        <v>216628.2</v>
      </c>
      <c r="AB41" s="3" t="n">
        <v>208248.77</v>
      </c>
      <c r="AC41" s="4" t="n">
        <f aca="false">SUM(B41:J41)</f>
        <v>0</v>
      </c>
      <c r="AD41" s="4" t="n">
        <f aca="false">SUM(K41:V41)</f>
        <v>2619713.89</v>
      </c>
      <c r="AE41" s="4" t="n">
        <f aca="false">SUM(W41:AB41)</f>
        <v>1277351.91</v>
      </c>
    </row>
    <row r="42" customFormat="false" ht="15" hidden="false" customHeight="false" outlineLevel="0" collapsed="false">
      <c r="A42" s="0" t="s">
        <v>98</v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f aca="false">-K32</f>
        <v>157816.69</v>
      </c>
      <c r="L42" s="4" t="n">
        <f aca="false">-L32</f>
        <v>156869.79</v>
      </c>
      <c r="M42" s="4" t="n">
        <f aca="false">-M32</f>
        <v>155928.58</v>
      </c>
      <c r="N42" s="4" t="n">
        <f aca="false">-N32</f>
        <v>154993</v>
      </c>
      <c r="O42" s="4" t="n">
        <f aca="false">-O32</f>
        <v>154063.05</v>
      </c>
      <c r="P42" s="4" t="n">
        <f aca="false">-P32</f>
        <v>153138.67</v>
      </c>
      <c r="Q42" s="4" t="n">
        <f aca="false">-Q32</f>
        <v>152219.84</v>
      </c>
      <c r="R42" s="4" t="n">
        <f aca="false">-R32</f>
        <v>151306.52</v>
      </c>
      <c r="S42" s="4" t="n">
        <f aca="false">-S32</f>
        <v>150398.68</v>
      </c>
      <c r="T42" s="4" t="n">
        <f aca="false">-T32</f>
        <v>149496.29</v>
      </c>
      <c r="U42" s="4" t="n">
        <f aca="false">-U32</f>
        <v>148599.31</v>
      </c>
      <c r="V42" s="4" t="n">
        <f aca="false">-V32</f>
        <v>147707.71</v>
      </c>
      <c r="W42" s="4" t="n">
        <f aca="false">-W32</f>
        <v>146821.47</v>
      </c>
      <c r="X42" s="4" t="n">
        <f aca="false">-X32</f>
        <v>145940.54</v>
      </c>
      <c r="Y42" s="4" t="n">
        <f aca="false">-Y32</f>
        <v>145064.89</v>
      </c>
      <c r="Z42" s="4" t="n">
        <f aca="false">-Z32</f>
        <v>144194.5</v>
      </c>
      <c r="AA42" s="4" t="n">
        <f aca="false">-AA32</f>
        <v>143329.34</v>
      </c>
      <c r="AB42" s="4" t="n">
        <f aca="false">-AB32</f>
        <v>142469.36</v>
      </c>
      <c r="AC42" s="4" t="n">
        <f aca="false">SUM(B42:J42)</f>
        <v>0</v>
      </c>
      <c r="AD42" s="4" t="n">
        <f aca="false">SUM(K42:V42)</f>
        <v>1832538.13</v>
      </c>
      <c r="AE42" s="4" t="n">
        <f aca="false">SUM(W42:AB42)</f>
        <v>867820.1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1" min="2" style="0" width="13"/>
  </cols>
  <sheetData>
    <row r="1" customFormat="false" ht="15" hidden="false" customHeight="false" outlineLevel="0" collapsed="false">
      <c r="A1" s="0" t="s">
        <v>99</v>
      </c>
    </row>
    <row r="2" customFormat="false" ht="15" hidden="false" customHeight="false" outlineLevel="0" collapsed="false">
      <c r="A2" s="0" t="s">
        <v>100</v>
      </c>
    </row>
    <row r="6" customFormat="false" ht="15" hidden="false" customHeight="false" outlineLevel="0" collapsed="false">
      <c r="A6" s="0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27</v>
      </c>
      <c r="AA6" s="1" t="s">
        <v>28</v>
      </c>
      <c r="AB6" s="1" t="s">
        <v>29</v>
      </c>
      <c r="AC6" s="2" t="s">
        <v>30</v>
      </c>
      <c r="AD6" s="2" t="s">
        <v>31</v>
      </c>
      <c r="AE6" s="2" t="s">
        <v>32</v>
      </c>
    </row>
    <row r="7" customFormat="false" ht="15" hidden="false" customHeight="false" outlineLevel="0" collapsed="false">
      <c r="A7" s="2" t="s">
        <v>101</v>
      </c>
    </row>
    <row r="8" customFormat="false" ht="15" hidden="false" customHeight="false" outlineLevel="0" collapsed="false">
      <c r="A8" s="0" t="s">
        <v>64</v>
      </c>
      <c r="B8" s="3" t="n">
        <v>963512.77</v>
      </c>
      <c r="C8" s="3" t="n">
        <v>1132935.86</v>
      </c>
      <c r="D8" s="3" t="n">
        <v>1182164.79</v>
      </c>
      <c r="E8" s="3" t="n">
        <v>1015597.81</v>
      </c>
      <c r="F8" s="3" t="n">
        <v>1121552.95</v>
      </c>
      <c r="G8" s="3" t="n">
        <v>962961.89</v>
      </c>
      <c r="H8" s="3" t="n">
        <v>1178049.42</v>
      </c>
      <c r="I8" s="3" t="n">
        <v>1290608.68</v>
      </c>
      <c r="J8" s="3" t="n">
        <v>740632.43</v>
      </c>
      <c r="K8" s="3" t="n">
        <v>935297.78</v>
      </c>
      <c r="L8" s="3" t="n">
        <v>1051239.83</v>
      </c>
      <c r="M8" s="3" t="n">
        <v>1196943.18</v>
      </c>
      <c r="N8" s="3" t="n">
        <v>1145306.58</v>
      </c>
      <c r="O8" s="3" t="n">
        <v>1233223.58</v>
      </c>
      <c r="P8" s="3" t="n">
        <v>1367677.54</v>
      </c>
      <c r="Q8" s="3" t="n">
        <v>1278994.2</v>
      </c>
      <c r="R8" s="3" t="n">
        <v>1083179.57</v>
      </c>
      <c r="S8" s="3" t="n">
        <v>1173821.58</v>
      </c>
      <c r="T8" s="3" t="n">
        <v>1312386.48</v>
      </c>
      <c r="U8" s="3" t="n">
        <v>1189043</v>
      </c>
      <c r="V8" s="3" t="n">
        <v>828151.16</v>
      </c>
      <c r="W8" s="3" t="n">
        <v>1046764.04</v>
      </c>
      <c r="X8" s="3" t="n">
        <v>1013746.65</v>
      </c>
      <c r="Y8" s="3" t="n">
        <v>1104524.38</v>
      </c>
      <c r="Z8" s="3" t="n">
        <v>1313857.43</v>
      </c>
      <c r="AA8" s="3" t="n">
        <v>1278868.59</v>
      </c>
      <c r="AB8" s="3" t="n">
        <v>1238610.25</v>
      </c>
      <c r="AC8" s="4" t="n">
        <f aca="false">SUM(B8:J8)</f>
        <v>9588016.6</v>
      </c>
      <c r="AD8" s="4" t="n">
        <f aca="false">SUM(K8:V8)</f>
        <v>13795264.48</v>
      </c>
      <c r="AE8" s="4" t="n">
        <f aca="false">SUM(W8:AB8)</f>
        <v>6996371.34</v>
      </c>
    </row>
    <row r="9" customFormat="false" ht="15" hidden="false" customHeight="false" outlineLevel="0" collapsed="false">
      <c r="A9" s="0" t="s">
        <v>102</v>
      </c>
      <c r="B9" s="3" t="n">
        <v>-681291.0492</v>
      </c>
      <c r="C9" s="3" t="n">
        <v>-831382.9756</v>
      </c>
      <c r="D9" s="3" t="n">
        <v>-875698.0384</v>
      </c>
      <c r="E9" s="3" t="n">
        <v>-730106.7376</v>
      </c>
      <c r="F9" s="3" t="n">
        <v>-824328.972</v>
      </c>
      <c r="G9" s="3" t="n">
        <v>-685744.6644</v>
      </c>
      <c r="H9" s="3" t="n">
        <v>-875991.6632</v>
      </c>
      <c r="I9" s="3" t="n">
        <v>-976007.9628</v>
      </c>
      <c r="J9" s="3" t="n">
        <v>-492987.2328</v>
      </c>
      <c r="K9" s="3" t="n">
        <v>-665245.3588</v>
      </c>
      <c r="L9" s="3" t="n">
        <v>-768221.2568</v>
      </c>
      <c r="M9" s="3" t="n">
        <v>-897381.4228</v>
      </c>
      <c r="N9" s="3" t="n">
        <v>-852876.7868</v>
      </c>
      <c r="O9" s="3" t="n">
        <v>-931173.6968</v>
      </c>
      <c r="P9" s="3" t="n">
        <v>-1050417.5684</v>
      </c>
      <c r="Q9" s="3" t="n">
        <v>-973295.052</v>
      </c>
      <c r="R9" s="3" t="n">
        <v>-801891.4972</v>
      </c>
      <c r="S9" s="3" t="n">
        <v>-882564.3068</v>
      </c>
      <c r="T9" s="3" t="n">
        <v>-1005403.8108</v>
      </c>
      <c r="U9" s="3" t="n">
        <v>-897758.53</v>
      </c>
      <c r="V9" s="3" t="n">
        <v>-581065.3136</v>
      </c>
      <c r="W9" s="3" t="n">
        <v>-774330.8884</v>
      </c>
      <c r="X9" s="3" t="n">
        <v>-746156.514</v>
      </c>
      <c r="Y9" s="3" t="n">
        <v>-826916.5648</v>
      </c>
      <c r="Z9" s="3" t="n">
        <v>-1012000.0428</v>
      </c>
      <c r="AA9" s="3" t="n">
        <v>-982075.0164</v>
      </c>
      <c r="AB9" s="3" t="n">
        <v>-947507.66</v>
      </c>
      <c r="AC9" s="4" t="n">
        <f aca="false">SUM(B9:J9)</f>
        <v>-6973539.296</v>
      </c>
      <c r="AD9" s="4" t="n">
        <f aca="false">SUM(K9:V9)</f>
        <v>-10307294.6008</v>
      </c>
      <c r="AE9" s="4" t="n">
        <f aca="false">SUM(W9:AB9)</f>
        <v>-5288986.6864</v>
      </c>
    </row>
    <row r="10" customFormat="false" ht="15" hidden="false" customHeight="false" outlineLevel="0" collapsed="false">
      <c r="A10" s="2" t="s">
        <v>103</v>
      </c>
      <c r="B10" s="4" t="n">
        <f aca="false">B8+B9</f>
        <v>282221.7208</v>
      </c>
      <c r="C10" s="4" t="n">
        <f aca="false">C8+C9</f>
        <v>301552.8844</v>
      </c>
      <c r="D10" s="4" t="n">
        <f aca="false">D8+D9</f>
        <v>306466.7516</v>
      </c>
      <c r="E10" s="4" t="n">
        <f aca="false">E8+E9</f>
        <v>285491.0724</v>
      </c>
      <c r="F10" s="4" t="n">
        <f aca="false">F8+F9</f>
        <v>297223.978</v>
      </c>
      <c r="G10" s="4" t="n">
        <f aca="false">G8+G9</f>
        <v>277217.2256</v>
      </c>
      <c r="H10" s="4" t="n">
        <f aca="false">H8+H9</f>
        <v>302057.7568</v>
      </c>
      <c r="I10" s="4" t="n">
        <f aca="false">I8+I9</f>
        <v>314600.7172</v>
      </c>
      <c r="J10" s="4" t="n">
        <f aca="false">J8+J9</f>
        <v>247645.1972</v>
      </c>
      <c r="K10" s="4" t="n">
        <f aca="false">K8+K9</f>
        <v>270052.4212</v>
      </c>
      <c r="L10" s="4" t="n">
        <f aca="false">L8+L9</f>
        <v>283018.5732</v>
      </c>
      <c r="M10" s="4" t="n">
        <f aca="false">M8+M9</f>
        <v>299561.7572</v>
      </c>
      <c r="N10" s="4" t="n">
        <f aca="false">N8+N9</f>
        <v>292429.7932</v>
      </c>
      <c r="O10" s="4" t="n">
        <f aca="false">O8+O9</f>
        <v>302049.8832</v>
      </c>
      <c r="P10" s="4" t="n">
        <f aca="false">P8+P9</f>
        <v>317259.9716</v>
      </c>
      <c r="Q10" s="4" t="n">
        <f aca="false">Q8+Q9</f>
        <v>305699.148</v>
      </c>
      <c r="R10" s="4" t="n">
        <f aca="false">R8+R9</f>
        <v>281288.0728</v>
      </c>
      <c r="S10" s="4" t="n">
        <f aca="false">S8+S9</f>
        <v>291257.2732</v>
      </c>
      <c r="T10" s="4" t="n">
        <f aca="false">T8+T9</f>
        <v>306982.6692</v>
      </c>
      <c r="U10" s="4" t="n">
        <f aca="false">U8+U9</f>
        <v>291284.47</v>
      </c>
      <c r="V10" s="4" t="n">
        <f aca="false">V8+V9</f>
        <v>247085.8464</v>
      </c>
      <c r="W10" s="4" t="n">
        <f aca="false">W8+W9</f>
        <v>272433.1516</v>
      </c>
      <c r="X10" s="4" t="n">
        <f aca="false">X8+X9</f>
        <v>267590.136</v>
      </c>
      <c r="Y10" s="4" t="n">
        <f aca="false">Y8+Y9</f>
        <v>277607.8152</v>
      </c>
      <c r="Z10" s="4" t="n">
        <f aca="false">Z8+Z9</f>
        <v>301857.3872</v>
      </c>
      <c r="AA10" s="4" t="n">
        <f aca="false">AA8+AA9</f>
        <v>296793.5736</v>
      </c>
      <c r="AB10" s="4" t="n">
        <f aca="false">AB8+AB9</f>
        <v>291102.59</v>
      </c>
      <c r="AC10" s="4" t="n">
        <f aca="false">SUM(B10:J10)</f>
        <v>2614477.304</v>
      </c>
      <c r="AD10" s="4" t="n">
        <f aca="false">SUM(K10:V10)</f>
        <v>3487969.8792</v>
      </c>
      <c r="AE10" s="4" t="n">
        <f aca="false">SUM(W10:AB10)</f>
        <v>1707384.6536</v>
      </c>
    </row>
    <row r="12" customFormat="false" ht="15" hidden="false" customHeight="false" outlineLevel="0" collapsed="false">
      <c r="A12" s="2" t="s">
        <v>104</v>
      </c>
    </row>
    <row r="13" customFormat="false" ht="15" hidden="false" customHeight="false" outlineLevel="0" collapsed="false">
      <c r="A13" s="0" t="s">
        <v>105</v>
      </c>
      <c r="B13" s="3" t="n">
        <v>-38540.5108</v>
      </c>
      <c r="C13" s="3" t="n">
        <v>-45317.4344</v>
      </c>
      <c r="D13" s="3" t="n">
        <v>-47286.5916</v>
      </c>
      <c r="E13" s="3" t="n">
        <v>-40623.9124</v>
      </c>
      <c r="F13" s="3" t="n">
        <v>-44862.118</v>
      </c>
      <c r="G13" s="3" t="n">
        <v>-38518.4756</v>
      </c>
      <c r="H13" s="3" t="n">
        <v>-47121.9768</v>
      </c>
      <c r="I13" s="3" t="n">
        <v>-51624.3472</v>
      </c>
      <c r="J13" s="3" t="n">
        <v>-29625.2972</v>
      </c>
      <c r="K13" s="3" t="n">
        <v>-37411.9112</v>
      </c>
      <c r="L13" s="3" t="n">
        <v>-42049.5932</v>
      </c>
      <c r="M13" s="3" t="n">
        <v>-47877.7272</v>
      </c>
      <c r="N13" s="3" t="n">
        <v>-45812.2632</v>
      </c>
      <c r="O13" s="3" t="n">
        <v>-49328.9432</v>
      </c>
      <c r="P13" s="3" t="n">
        <v>-54707.1016</v>
      </c>
      <c r="Q13" s="3" t="n">
        <v>-51159.768</v>
      </c>
      <c r="R13" s="3" t="n">
        <v>-43327.1828</v>
      </c>
      <c r="S13" s="3" t="n">
        <v>-46952.8632</v>
      </c>
      <c r="T13" s="3" t="n">
        <v>-52495.4592</v>
      </c>
      <c r="U13" s="3" t="n">
        <v>-47561.72</v>
      </c>
      <c r="V13" s="3" t="n">
        <v>-33126.0464</v>
      </c>
      <c r="W13" s="3" t="n">
        <v>-41870.5616</v>
      </c>
      <c r="X13" s="3" t="n">
        <v>-40549.866</v>
      </c>
      <c r="Y13" s="3" t="n">
        <v>-44180.9752</v>
      </c>
      <c r="Z13" s="3" t="n">
        <v>-52554.2972</v>
      </c>
      <c r="AA13" s="3" t="n">
        <v>-51154.7436</v>
      </c>
      <c r="AB13" s="3" t="n">
        <v>-49544.41</v>
      </c>
      <c r="AC13" s="4" t="n">
        <f aca="false">SUM(B13:J13)</f>
        <v>-383520.664</v>
      </c>
      <c r="AD13" s="4" t="n">
        <f aca="false">SUM(K13:V13)</f>
        <v>-551810.5792</v>
      </c>
      <c r="AE13" s="4" t="n">
        <f aca="false">SUM(W13:AB13)</f>
        <v>-279854.8536</v>
      </c>
    </row>
    <row r="14" customFormat="false" ht="15" hidden="false" customHeight="false" outlineLevel="0" collapsed="false">
      <c r="A14" s="2" t="s">
        <v>106</v>
      </c>
      <c r="B14" s="4" t="n">
        <f aca="false">B13</f>
        <v>-38540.5108</v>
      </c>
      <c r="C14" s="4" t="n">
        <f aca="false">C13</f>
        <v>-45317.4344</v>
      </c>
      <c r="D14" s="4" t="n">
        <f aca="false">D13</f>
        <v>-47286.5916</v>
      </c>
      <c r="E14" s="4" t="n">
        <f aca="false">E13</f>
        <v>-40623.9124</v>
      </c>
      <c r="F14" s="4" t="n">
        <f aca="false">F13</f>
        <v>-44862.118</v>
      </c>
      <c r="G14" s="4" t="n">
        <f aca="false">G13</f>
        <v>-38518.4756</v>
      </c>
      <c r="H14" s="4" t="n">
        <f aca="false">H13</f>
        <v>-47121.9768</v>
      </c>
      <c r="I14" s="4" t="n">
        <f aca="false">I13</f>
        <v>-51624.3472</v>
      </c>
      <c r="J14" s="4" t="n">
        <f aca="false">J13</f>
        <v>-29625.2972</v>
      </c>
      <c r="K14" s="4" t="n">
        <f aca="false">K13</f>
        <v>-37411.9112</v>
      </c>
      <c r="L14" s="4" t="n">
        <f aca="false">L13</f>
        <v>-42049.5932</v>
      </c>
      <c r="M14" s="4" t="n">
        <f aca="false">M13</f>
        <v>-47877.7272</v>
      </c>
      <c r="N14" s="4" t="n">
        <f aca="false">N13</f>
        <v>-45812.2632</v>
      </c>
      <c r="O14" s="4" t="n">
        <f aca="false">O13</f>
        <v>-49328.9432</v>
      </c>
      <c r="P14" s="4" t="n">
        <f aca="false">P13</f>
        <v>-54707.1016</v>
      </c>
      <c r="Q14" s="4" t="n">
        <f aca="false">Q13</f>
        <v>-51159.768</v>
      </c>
      <c r="R14" s="4" t="n">
        <f aca="false">R13</f>
        <v>-43327.1828</v>
      </c>
      <c r="S14" s="4" t="n">
        <f aca="false">S13</f>
        <v>-46952.8632</v>
      </c>
      <c r="T14" s="4" t="n">
        <f aca="false">T13</f>
        <v>-52495.4592</v>
      </c>
      <c r="U14" s="4" t="n">
        <f aca="false">U13</f>
        <v>-47561.72</v>
      </c>
      <c r="V14" s="4" t="n">
        <f aca="false">V13</f>
        <v>-33126.0464</v>
      </c>
      <c r="W14" s="4" t="n">
        <f aca="false">W13</f>
        <v>-41870.5616</v>
      </c>
      <c r="X14" s="4" t="n">
        <f aca="false">X13</f>
        <v>-40549.866</v>
      </c>
      <c r="Y14" s="4" t="n">
        <f aca="false">Y13</f>
        <v>-44180.9752</v>
      </c>
      <c r="Z14" s="4" t="n">
        <f aca="false">Z13</f>
        <v>-52554.2972</v>
      </c>
      <c r="AA14" s="4" t="n">
        <f aca="false">AA13</f>
        <v>-51154.7436</v>
      </c>
      <c r="AB14" s="4" t="n">
        <f aca="false">AB13</f>
        <v>-49544.41</v>
      </c>
      <c r="AC14" s="4" t="n">
        <f aca="false">SUM(B14:J14)</f>
        <v>-383520.664</v>
      </c>
      <c r="AD14" s="4" t="n">
        <f aca="false">SUM(K14:V14)</f>
        <v>-551810.5792</v>
      </c>
      <c r="AE14" s="4" t="n">
        <f aca="false">SUM(W14:AB14)</f>
        <v>-279854.8536</v>
      </c>
    </row>
    <row r="16" customFormat="false" ht="15" hidden="false" customHeight="false" outlineLevel="0" collapsed="false">
      <c r="A16" s="2" t="s">
        <v>107</v>
      </c>
    </row>
    <row r="17" customFormat="false" ht="15" hidden="false" customHeight="false" outlineLevel="0" collapsed="false">
      <c r="A17" s="0" t="s">
        <v>108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4" t="n">
        <f aca="false">SUM(B17:J17)</f>
        <v>0</v>
      </c>
      <c r="AD17" s="4" t="n">
        <f aca="false">SUM(K17:V17)</f>
        <v>0</v>
      </c>
      <c r="AE17" s="4" t="n">
        <f aca="false">SUM(W17:AB17)</f>
        <v>0</v>
      </c>
    </row>
    <row r="18" customFormat="false" ht="15" hidden="false" customHeight="false" outlineLevel="0" collapsed="false">
      <c r="A18" s="0" t="s">
        <v>109</v>
      </c>
      <c r="B18" s="3" t="n">
        <v>-166600.19</v>
      </c>
      <c r="C18" s="3" t="n">
        <v>-165600.58</v>
      </c>
      <c r="D18" s="3" t="n">
        <v>-164606.98</v>
      </c>
      <c r="E18" s="3" t="n">
        <v>-163619.34</v>
      </c>
      <c r="F18" s="3" t="n">
        <v>-162637.62</v>
      </c>
      <c r="G18" s="3" t="n">
        <v>-161661.8</v>
      </c>
      <c r="H18" s="3" t="n">
        <v>-160691.83</v>
      </c>
      <c r="I18" s="3" t="n">
        <v>-159727.68</v>
      </c>
      <c r="J18" s="3" t="n">
        <v>-158769.31</v>
      </c>
      <c r="K18" s="3" t="n">
        <v>-157816.69</v>
      </c>
      <c r="L18" s="3" t="n">
        <v>-156869.79</v>
      </c>
      <c r="M18" s="3" t="n">
        <v>-155928.58</v>
      </c>
      <c r="N18" s="3" t="n">
        <v>-154993</v>
      </c>
      <c r="O18" s="3" t="n">
        <v>-154063.05</v>
      </c>
      <c r="P18" s="3" t="n">
        <v>-153138.67</v>
      </c>
      <c r="Q18" s="3" t="n">
        <v>-152219.84</v>
      </c>
      <c r="R18" s="3" t="n">
        <v>-151306.52</v>
      </c>
      <c r="S18" s="3" t="n">
        <v>-150398.68</v>
      </c>
      <c r="T18" s="3" t="n">
        <v>-149496.29</v>
      </c>
      <c r="U18" s="3" t="n">
        <v>-148599.31</v>
      </c>
      <c r="V18" s="3" t="n">
        <v>-147707.71</v>
      </c>
      <c r="W18" s="3" t="n">
        <v>-146821.47</v>
      </c>
      <c r="X18" s="3" t="n">
        <v>-145940.54</v>
      </c>
      <c r="Y18" s="3" t="n">
        <v>-145064.89</v>
      </c>
      <c r="Z18" s="3" t="n">
        <v>-144194.5</v>
      </c>
      <c r="AA18" s="3" t="n">
        <v>-143329.34</v>
      </c>
      <c r="AB18" s="3" t="n">
        <v>-142469.36</v>
      </c>
      <c r="AC18" s="4" t="n">
        <f aca="false">SUM(B18:J18)</f>
        <v>-1463915.33</v>
      </c>
      <c r="AD18" s="4" t="n">
        <f aca="false">SUM(K18:V18)</f>
        <v>-1832538.13</v>
      </c>
      <c r="AE18" s="4" t="n">
        <f aca="false">SUM(W18:AB18)</f>
        <v>-867820.1</v>
      </c>
    </row>
    <row r="19" customFormat="false" ht="15" hidden="false" customHeight="false" outlineLevel="0" collapsed="false">
      <c r="A19" s="2" t="s">
        <v>110</v>
      </c>
      <c r="B19" s="4" t="n">
        <f aca="false">B17+B18</f>
        <v>-166600.19</v>
      </c>
      <c r="C19" s="4" t="n">
        <f aca="false">C17+C18</f>
        <v>-165600.58</v>
      </c>
      <c r="D19" s="4" t="n">
        <f aca="false">D17+D18</f>
        <v>-164606.98</v>
      </c>
      <c r="E19" s="4" t="n">
        <f aca="false">E17+E18</f>
        <v>-163619.34</v>
      </c>
      <c r="F19" s="4" t="n">
        <f aca="false">F17+F18</f>
        <v>-162637.62</v>
      </c>
      <c r="G19" s="4" t="n">
        <f aca="false">G17+G18</f>
        <v>-161661.8</v>
      </c>
      <c r="H19" s="4" t="n">
        <f aca="false">H17+H18</f>
        <v>-160691.83</v>
      </c>
      <c r="I19" s="4" t="n">
        <f aca="false">I17+I18</f>
        <v>-159727.68</v>
      </c>
      <c r="J19" s="4" t="n">
        <f aca="false">J17+J18</f>
        <v>-158769.31</v>
      </c>
      <c r="K19" s="4" t="n">
        <f aca="false">K17+K18</f>
        <v>-157816.69</v>
      </c>
      <c r="L19" s="4" t="n">
        <f aca="false">L17+L18</f>
        <v>-156869.79</v>
      </c>
      <c r="M19" s="4" t="n">
        <f aca="false">M17+M18</f>
        <v>-155928.58</v>
      </c>
      <c r="N19" s="4" t="n">
        <f aca="false">N17+N18</f>
        <v>-154993</v>
      </c>
      <c r="O19" s="4" t="n">
        <f aca="false">O17+O18</f>
        <v>-154063.05</v>
      </c>
      <c r="P19" s="4" t="n">
        <f aca="false">P17+P18</f>
        <v>-153138.67</v>
      </c>
      <c r="Q19" s="4" t="n">
        <f aca="false">Q17+Q18</f>
        <v>-152219.84</v>
      </c>
      <c r="R19" s="4" t="n">
        <f aca="false">R17+R18</f>
        <v>-151306.52</v>
      </c>
      <c r="S19" s="4" t="n">
        <f aca="false">S17+S18</f>
        <v>-150398.68</v>
      </c>
      <c r="T19" s="4" t="n">
        <f aca="false">T17+T18</f>
        <v>-149496.29</v>
      </c>
      <c r="U19" s="4" t="n">
        <f aca="false">U17+U18</f>
        <v>-148599.31</v>
      </c>
      <c r="V19" s="4" t="n">
        <f aca="false">V17+V18</f>
        <v>-147707.71</v>
      </c>
      <c r="W19" s="4" t="n">
        <f aca="false">W17+W18</f>
        <v>-146821.47</v>
      </c>
      <c r="X19" s="4" t="n">
        <f aca="false">X17+X18</f>
        <v>-145940.54</v>
      </c>
      <c r="Y19" s="4" t="n">
        <f aca="false">Y17+Y18</f>
        <v>-145064.89</v>
      </c>
      <c r="Z19" s="4" t="n">
        <f aca="false">Z17+Z18</f>
        <v>-144194.5</v>
      </c>
      <c r="AA19" s="4" t="n">
        <f aca="false">AA17+AA18</f>
        <v>-143329.34</v>
      </c>
      <c r="AB19" s="4" t="n">
        <f aca="false">AB17+AB18</f>
        <v>-142469.36</v>
      </c>
      <c r="AC19" s="4" t="n">
        <f aca="false">SUM(B19:J19)</f>
        <v>-1463915.33</v>
      </c>
      <c r="AD19" s="4" t="n">
        <f aca="false">SUM(K19:V19)</f>
        <v>-1832538.13</v>
      </c>
      <c r="AE19" s="4" t="n">
        <f aca="false">SUM(W19:AB19)</f>
        <v>-867820.1</v>
      </c>
    </row>
    <row r="20" customFormat="false" ht="15" hidden="false" customHeight="false" outlineLevel="0" collapsed="false">
      <c r="A20" s="2" t="s">
        <v>111</v>
      </c>
      <c r="B20" s="4" t="n">
        <f aca="false">B10+B14+B19</f>
        <v>77081.02</v>
      </c>
      <c r="C20" s="4" t="n">
        <f aca="false">C10+C14+C19</f>
        <v>90634.8700000001</v>
      </c>
      <c r="D20" s="4" t="n">
        <f aca="false">D10+D14+D19</f>
        <v>94573.1800000001</v>
      </c>
      <c r="E20" s="4" t="n">
        <f aca="false">E10+E14+E19</f>
        <v>81247.8200000001</v>
      </c>
      <c r="F20" s="4" t="n">
        <f aca="false">F10+F14+F19</f>
        <v>89724.24</v>
      </c>
      <c r="G20" s="4" t="n">
        <f aca="false">G10+G14+G19</f>
        <v>77036.95</v>
      </c>
      <c r="H20" s="4" t="n">
        <f aca="false">H10+H14+H19</f>
        <v>94243.95</v>
      </c>
      <c r="I20" s="4" t="n">
        <f aca="false">I10+I14+I19</f>
        <v>103248.69</v>
      </c>
      <c r="J20" s="4" t="n">
        <f aca="false">J10+J14+J19</f>
        <v>59250.5900000001</v>
      </c>
      <c r="K20" s="4" t="n">
        <f aca="false">K10+K14+K19</f>
        <v>74823.82</v>
      </c>
      <c r="L20" s="4" t="n">
        <f aca="false">L10+L14+L19</f>
        <v>84099.1900000001</v>
      </c>
      <c r="M20" s="4" t="n">
        <f aca="false">M10+M14+M19</f>
        <v>95755.45</v>
      </c>
      <c r="N20" s="4" t="n">
        <f aca="false">N10+N14+N19</f>
        <v>91624.5300000001</v>
      </c>
      <c r="O20" s="4" t="n">
        <f aca="false">O10+O14+O19</f>
        <v>98657.89</v>
      </c>
      <c r="P20" s="4" t="n">
        <f aca="false">P10+P14+P19</f>
        <v>109414.2</v>
      </c>
      <c r="Q20" s="4" t="n">
        <f aca="false">Q10+Q14+Q19</f>
        <v>102319.54</v>
      </c>
      <c r="R20" s="4" t="n">
        <f aca="false">R10+R14+R19</f>
        <v>86654.3700000001</v>
      </c>
      <c r="S20" s="4" t="n">
        <f aca="false">S10+S14+S19</f>
        <v>93905.7300000001</v>
      </c>
      <c r="T20" s="4" t="n">
        <f aca="false">T10+T14+T19</f>
        <v>104990.92</v>
      </c>
      <c r="U20" s="4" t="n">
        <f aca="false">U10+U14+U19</f>
        <v>95123.44</v>
      </c>
      <c r="V20" s="4" t="n">
        <f aca="false">V10+V14+V19</f>
        <v>66252.0900000001</v>
      </c>
      <c r="W20" s="4" t="n">
        <f aca="false">W10+W14+W19</f>
        <v>83741.12</v>
      </c>
      <c r="X20" s="4" t="n">
        <f aca="false">X10+X14+X19</f>
        <v>81099.73</v>
      </c>
      <c r="Y20" s="4" t="n">
        <f aca="false">Y10+Y14+Y19</f>
        <v>88361.9499999998</v>
      </c>
      <c r="Z20" s="4" t="n">
        <f aca="false">Z10+Z14+Z19</f>
        <v>105108.59</v>
      </c>
      <c r="AA20" s="4" t="n">
        <f aca="false">AA10+AA14+AA19</f>
        <v>102309.49</v>
      </c>
      <c r="AB20" s="4" t="n">
        <f aca="false">AB10+AB14+AB19</f>
        <v>99088.82</v>
      </c>
      <c r="AC20" s="4" t="n">
        <f aca="false">SUM(B20:J20)</f>
        <v>767041.31</v>
      </c>
      <c r="AD20" s="4" t="n">
        <f aca="false">SUM(K20:V20)</f>
        <v>1103621.17</v>
      </c>
      <c r="AE20" s="4" t="n">
        <f aca="false">SUM(W20:AB20)</f>
        <v>559709.7</v>
      </c>
    </row>
    <row r="21" customFormat="false" ht="15" hidden="false" customHeight="false" outlineLevel="0" collapsed="false">
      <c r="A21" s="2" t="s">
        <v>112</v>
      </c>
      <c r="B21" s="11" t="n">
        <v>2964886</v>
      </c>
      <c r="C21" s="12" t="n">
        <f aca="false">B21+C20</f>
        <v>3055520.87</v>
      </c>
      <c r="D21" s="12" t="n">
        <f aca="false">C21+D20</f>
        <v>3150094.05</v>
      </c>
      <c r="E21" s="12" t="n">
        <f aca="false">D21+E20</f>
        <v>3231341.87</v>
      </c>
      <c r="F21" s="12" t="n">
        <f aca="false">E21+F20</f>
        <v>3321066.11</v>
      </c>
      <c r="G21" s="12" t="n">
        <f aca="false">F21+G20</f>
        <v>3398103.06</v>
      </c>
      <c r="H21" s="12" t="n">
        <f aca="false">G21+H20</f>
        <v>3492347.01</v>
      </c>
      <c r="I21" s="12" t="n">
        <f aca="false">H21+I20</f>
        <v>3595595.7</v>
      </c>
      <c r="J21" s="12" t="n">
        <f aca="false">I21+J20</f>
        <v>3654846.29</v>
      </c>
      <c r="K21" s="12" t="n">
        <f aca="false">J21+K20</f>
        <v>3729670.11</v>
      </c>
      <c r="L21" s="12" t="n">
        <f aca="false">K21+L20</f>
        <v>3813769.3</v>
      </c>
      <c r="M21" s="12" t="n">
        <f aca="false">L21+M20</f>
        <v>3909524.75</v>
      </c>
      <c r="N21" s="12" t="n">
        <f aca="false">M21+N20</f>
        <v>4001149.28</v>
      </c>
      <c r="O21" s="12" t="n">
        <f aca="false">N21+O20</f>
        <v>4099807.17</v>
      </c>
      <c r="P21" s="12" t="n">
        <f aca="false">O21+P20</f>
        <v>4209221.37</v>
      </c>
      <c r="Q21" s="12" t="n">
        <f aca="false">P21+Q20</f>
        <v>4311540.91</v>
      </c>
      <c r="R21" s="12" t="n">
        <f aca="false">Q21+R20</f>
        <v>4398195.28</v>
      </c>
      <c r="S21" s="12" t="n">
        <f aca="false">R21+S20</f>
        <v>4492101.01</v>
      </c>
      <c r="T21" s="12" t="n">
        <f aca="false">S21+T20</f>
        <v>4597091.93</v>
      </c>
      <c r="U21" s="12" t="n">
        <f aca="false">T21+U20</f>
        <v>4692215.37</v>
      </c>
      <c r="V21" s="12" t="n">
        <f aca="false">U21+V20</f>
        <v>4758467.46</v>
      </c>
      <c r="W21" s="12" t="n">
        <f aca="false">V21+W20</f>
        <v>4842208.58</v>
      </c>
      <c r="X21" s="12" t="n">
        <f aca="false">W21+X20</f>
        <v>4923308.31</v>
      </c>
      <c r="Y21" s="12" t="n">
        <f aca="false">X21+Y20</f>
        <v>5011670.26</v>
      </c>
      <c r="Z21" s="12" t="n">
        <f aca="false">Y21+Z20</f>
        <v>5116778.85</v>
      </c>
      <c r="AA21" s="12" t="n">
        <f aca="false">Z21+AA20</f>
        <v>5219088.34</v>
      </c>
      <c r="AB21" s="12" t="n">
        <f aca="false">AA21+AB20</f>
        <v>5318177.16</v>
      </c>
      <c r="AC21" s="6" t="n">
        <f aca="false">J21</f>
        <v>3654846.29</v>
      </c>
      <c r="AD21" s="6" t="n">
        <f aca="false">V21</f>
        <v>4758467.46</v>
      </c>
      <c r="AE21" s="6" t="n">
        <f aca="false">AB21</f>
        <v>5318177.16</v>
      </c>
    </row>
    <row r="23" customFormat="false" ht="15" hidden="false" customHeight="false" outlineLevel="0" collapsed="false">
      <c r="A23" s="0" t="s">
        <v>113</v>
      </c>
      <c r="B23" s="4" t="n">
        <f aca="false">'Balance Sheet'!B8</f>
        <v>2964886</v>
      </c>
      <c r="C23" s="4" t="n">
        <f aca="false">'Balance Sheet'!C8</f>
        <v>3055520.87</v>
      </c>
      <c r="D23" s="4" t="n">
        <f aca="false">'Balance Sheet'!D8</f>
        <v>3150094.05</v>
      </c>
      <c r="E23" s="4" t="n">
        <f aca="false">'Balance Sheet'!E8</f>
        <v>3231341.87</v>
      </c>
      <c r="F23" s="4" t="n">
        <f aca="false">'Balance Sheet'!F8</f>
        <v>3321066.11</v>
      </c>
      <c r="G23" s="4" t="n">
        <f aca="false">'Balance Sheet'!G8</f>
        <v>3398103.06</v>
      </c>
      <c r="H23" s="4" t="n">
        <f aca="false">'Balance Sheet'!H8</f>
        <v>3492347.01</v>
      </c>
      <c r="I23" s="4" t="n">
        <f aca="false">'Balance Sheet'!I8</f>
        <v>3595595.7</v>
      </c>
      <c r="J23" s="4" t="n">
        <f aca="false">'Balance Sheet'!J8</f>
        <v>3654846.29</v>
      </c>
      <c r="K23" s="4" t="n">
        <f aca="false">'Balance Sheet'!K8</f>
        <v>3729670.11</v>
      </c>
      <c r="L23" s="4" t="n">
        <f aca="false">'Balance Sheet'!L8</f>
        <v>3813769.3</v>
      </c>
      <c r="M23" s="4" t="n">
        <f aca="false">'Balance Sheet'!M8</f>
        <v>3909524.75</v>
      </c>
      <c r="N23" s="4" t="n">
        <f aca="false">'Balance Sheet'!N8</f>
        <v>4001149.28</v>
      </c>
      <c r="O23" s="4" t="n">
        <f aca="false">'Balance Sheet'!O8</f>
        <v>4099807.17</v>
      </c>
      <c r="P23" s="4" t="n">
        <f aca="false">'Balance Sheet'!P8</f>
        <v>4209221.37</v>
      </c>
      <c r="Q23" s="4" t="n">
        <f aca="false">'Balance Sheet'!Q8</f>
        <v>4311540.91</v>
      </c>
      <c r="R23" s="4" t="n">
        <f aca="false">'Balance Sheet'!R8</f>
        <v>4398195.28</v>
      </c>
      <c r="S23" s="4" t="n">
        <f aca="false">'Balance Sheet'!S8</f>
        <v>4492101.01</v>
      </c>
      <c r="T23" s="4" t="n">
        <f aca="false">'Balance Sheet'!T8</f>
        <v>4597091.93</v>
      </c>
      <c r="U23" s="4" t="n">
        <f aca="false">'Balance Sheet'!U8</f>
        <v>4692215.37</v>
      </c>
      <c r="V23" s="4" t="n">
        <f aca="false">'Balance Sheet'!V8</f>
        <v>4758467.46</v>
      </c>
      <c r="W23" s="4" t="n">
        <f aca="false">'Balance Sheet'!W8</f>
        <v>4842208.58</v>
      </c>
      <c r="X23" s="4" t="n">
        <f aca="false">'Balance Sheet'!X8</f>
        <v>4923308.31</v>
      </c>
      <c r="Y23" s="4" t="n">
        <f aca="false">'Balance Sheet'!Y8</f>
        <v>5011670.26</v>
      </c>
      <c r="Z23" s="4" t="n">
        <f aca="false">'Balance Sheet'!Z8</f>
        <v>5116778.85</v>
      </c>
      <c r="AA23" s="4" t="n">
        <f aca="false">'Balance Sheet'!AA8</f>
        <v>5219088.34</v>
      </c>
      <c r="AB23" s="4" t="n">
        <f aca="false">'Balance Sheet'!AB8</f>
        <v>5318177.16</v>
      </c>
      <c r="AC23" s="4" t="n">
        <f aca="false">J23</f>
        <v>3654846.29</v>
      </c>
      <c r="AD23" s="4" t="n">
        <f aca="false">V23</f>
        <v>4758467.46</v>
      </c>
      <c r="AE23" s="4" t="n">
        <f aca="false">AB23</f>
        <v>5318177.16</v>
      </c>
    </row>
    <row r="24" customFormat="false" ht="15" hidden="false" customHeight="false" outlineLevel="0" collapsed="false">
      <c r="A24" s="0" t="s">
        <v>114</v>
      </c>
      <c r="B24" s="4" t="n">
        <f aca="false">B21-B23</f>
        <v>0</v>
      </c>
      <c r="C24" s="4" t="n">
        <f aca="false">C21-C23</f>
        <v>0</v>
      </c>
      <c r="D24" s="4" t="n">
        <f aca="false">D21-D23</f>
        <v>0</v>
      </c>
      <c r="E24" s="4" t="n">
        <f aca="false">E21-E23</f>
        <v>0</v>
      </c>
      <c r="F24" s="4" t="n">
        <f aca="false">F21-F23</f>
        <v>0</v>
      </c>
      <c r="G24" s="4" t="n">
        <f aca="false">G21-G23</f>
        <v>0</v>
      </c>
      <c r="H24" s="4" t="n">
        <f aca="false">H21-H23</f>
        <v>0</v>
      </c>
      <c r="I24" s="4" t="n">
        <f aca="false">I21-I23</f>
        <v>0</v>
      </c>
      <c r="J24" s="4" t="n">
        <f aca="false">J21-J23</f>
        <v>0</v>
      </c>
      <c r="K24" s="4" t="n">
        <f aca="false">K21-K23</f>
        <v>0</v>
      </c>
      <c r="L24" s="4" t="n">
        <f aca="false">L21-L23</f>
        <v>0</v>
      </c>
      <c r="M24" s="4" t="n">
        <f aca="false">M21-M23</f>
        <v>0</v>
      </c>
      <c r="N24" s="4" t="n">
        <f aca="false">N21-N23</f>
        <v>0</v>
      </c>
      <c r="O24" s="4" t="n">
        <f aca="false">O21-O23</f>
        <v>0</v>
      </c>
      <c r="P24" s="4" t="n">
        <f aca="false">P21-P23</f>
        <v>0</v>
      </c>
      <c r="Q24" s="4" t="n">
        <f aca="false">Q21-Q23</f>
        <v>0</v>
      </c>
      <c r="R24" s="4" t="n">
        <f aca="false">R21-R23</f>
        <v>0</v>
      </c>
      <c r="S24" s="4" t="n">
        <f aca="false">S21-S23</f>
        <v>0</v>
      </c>
      <c r="T24" s="4" t="n">
        <f aca="false">T21-T23</f>
        <v>0</v>
      </c>
      <c r="U24" s="4" t="n">
        <f aca="false">U21-U23</f>
        <v>0</v>
      </c>
      <c r="V24" s="4" t="n">
        <f aca="false">V21-V23</f>
        <v>0</v>
      </c>
      <c r="W24" s="4" t="n">
        <f aca="false">W21-W23</f>
        <v>0</v>
      </c>
      <c r="X24" s="4" t="n">
        <f aca="false">X21-X23</f>
        <v>0</v>
      </c>
      <c r="Y24" s="4" t="n">
        <f aca="false">Y21-Y23</f>
        <v>0</v>
      </c>
      <c r="Z24" s="4" t="n">
        <f aca="false">Z21-Z23</f>
        <v>0</v>
      </c>
      <c r="AA24" s="4" t="n">
        <f aca="false">AA21-AA23</f>
        <v>0</v>
      </c>
      <c r="AB24" s="4" t="n">
        <f aca="false">AB21-AB23</f>
        <v>0</v>
      </c>
      <c r="AC24" s="4" t="n">
        <f aca="false">J24</f>
        <v>0</v>
      </c>
      <c r="AD24" s="4" t="n">
        <f aca="false">V24</f>
        <v>0</v>
      </c>
      <c r="AE24" s="4" t="n">
        <f aca="false">AB24</f>
        <v>0</v>
      </c>
    </row>
    <row r="25" customFormat="false" ht="15" hidden="false" customHeight="false" outlineLevel="0" collapsed="false">
      <c r="A25" s="0" t="s">
        <v>115</v>
      </c>
      <c r="B25" s="4" t="n">
        <f aca="false">B8-'Income Statement'!B40</f>
        <v>0</v>
      </c>
      <c r="C25" s="4" t="n">
        <f aca="false">C8-'Income Statement'!C40</f>
        <v>0</v>
      </c>
      <c r="D25" s="4" t="n">
        <f aca="false">D8-'Income Statement'!D40</f>
        <v>0</v>
      </c>
      <c r="E25" s="4" t="n">
        <f aca="false">E8-'Income Statement'!E40</f>
        <v>0</v>
      </c>
      <c r="F25" s="4" t="n">
        <f aca="false">F8-'Income Statement'!F40</f>
        <v>0</v>
      </c>
      <c r="G25" s="4" t="n">
        <f aca="false">G8-'Income Statement'!G40</f>
        <v>0</v>
      </c>
      <c r="H25" s="4" t="n">
        <f aca="false">H8-'Income Statement'!H40</f>
        <v>0</v>
      </c>
      <c r="I25" s="4" t="n">
        <f aca="false">I8-'Income Statement'!I40</f>
        <v>0</v>
      </c>
      <c r="J25" s="4" t="n">
        <f aca="false">J8-'Income Statement'!J40</f>
        <v>0</v>
      </c>
      <c r="K25" s="4" t="n">
        <f aca="false">K8-'Income Statement'!K40</f>
        <v>0</v>
      </c>
      <c r="L25" s="4" t="n">
        <f aca="false">L8-'Income Statement'!L40</f>
        <v>0</v>
      </c>
      <c r="M25" s="4" t="n">
        <f aca="false">M8-'Income Statement'!M40</f>
        <v>0</v>
      </c>
      <c r="N25" s="4" t="n">
        <f aca="false">N8-'Income Statement'!N40</f>
        <v>0</v>
      </c>
      <c r="O25" s="4" t="n">
        <f aca="false">O8-'Income Statement'!O40</f>
        <v>0</v>
      </c>
      <c r="P25" s="4" t="n">
        <f aca="false">P8-'Income Statement'!P40</f>
        <v>0</v>
      </c>
      <c r="Q25" s="4" t="n">
        <f aca="false">Q8-'Income Statement'!Q40</f>
        <v>0</v>
      </c>
      <c r="R25" s="4" t="n">
        <f aca="false">R8-'Income Statement'!R40</f>
        <v>0</v>
      </c>
      <c r="S25" s="4" t="n">
        <f aca="false">S8-'Income Statement'!S40</f>
        <v>0</v>
      </c>
      <c r="T25" s="4" t="n">
        <f aca="false">T8-'Income Statement'!T40</f>
        <v>0</v>
      </c>
      <c r="U25" s="4" t="n">
        <f aca="false">U8-'Income Statement'!U40</f>
        <v>0</v>
      </c>
      <c r="V25" s="4" t="n">
        <f aca="false">V8-'Income Statement'!V40</f>
        <v>0</v>
      </c>
      <c r="W25" s="4" t="n">
        <f aca="false">W8-'Income Statement'!W40</f>
        <v>0</v>
      </c>
      <c r="X25" s="4" t="n">
        <f aca="false">X8-'Income Statement'!X40</f>
        <v>0</v>
      </c>
      <c r="Y25" s="4" t="n">
        <f aca="false">Y8-'Income Statement'!Y40</f>
        <v>0</v>
      </c>
      <c r="Z25" s="4" t="n">
        <f aca="false">Z8-'Income Statement'!Z40</f>
        <v>0</v>
      </c>
      <c r="AA25" s="4" t="n">
        <f aca="false">AA8-'Income Statement'!AA40</f>
        <v>0</v>
      </c>
      <c r="AB25" s="4" t="n">
        <f aca="false">AB8-'Income Statement'!AB40</f>
        <v>0</v>
      </c>
      <c r="AC25" s="4" t="n">
        <f aca="false">J25</f>
        <v>0</v>
      </c>
      <c r="AD25" s="4" t="n">
        <f aca="false">V25</f>
        <v>0</v>
      </c>
      <c r="AE25" s="4" t="n">
        <f aca="false">AB25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0"/>
  </cols>
  <sheetData>
    <row r="1" customFormat="false" ht="30" hidden="false" customHeight="true" outlineLevel="0" collapsed="false">
      <c r="A1" s="13" t="s">
        <v>116</v>
      </c>
      <c r="B1" s="14" t="s">
        <v>117</v>
      </c>
    </row>
    <row r="2" customFormat="false" ht="30" hidden="false" customHeight="true" outlineLevel="0" collapsed="false">
      <c r="A2" s="13" t="s">
        <v>118</v>
      </c>
      <c r="B2" s="14" t="s">
        <v>119</v>
      </c>
    </row>
    <row r="3" customFormat="false" ht="30" hidden="false" customHeight="true" outlineLevel="0" collapsed="false">
      <c r="A3" s="13" t="s">
        <v>120</v>
      </c>
      <c r="B3" s="14" t="s">
        <v>121</v>
      </c>
    </row>
    <row r="4" customFormat="false" ht="30" hidden="false" customHeight="true" outlineLevel="0" collapsed="false">
      <c r="A4" s="13" t="s">
        <v>122</v>
      </c>
      <c r="B4" s="14" t="s">
        <v>123</v>
      </c>
    </row>
    <row r="5" customFormat="false" ht="30" hidden="false" customHeight="true" outlineLevel="0" collapsed="false">
      <c r="A5" s="13" t="s">
        <v>124</v>
      </c>
      <c r="B5" s="14" t="s">
        <v>125</v>
      </c>
    </row>
    <row r="6" customFormat="false" ht="30" hidden="false" customHeight="true" outlineLevel="0" collapsed="false">
      <c r="A6" s="13" t="s">
        <v>126</v>
      </c>
      <c r="B6" s="14" t="s">
        <v>127</v>
      </c>
    </row>
    <row r="7" customFormat="false" ht="30" hidden="false" customHeight="true" outlineLevel="0" collapsed="false">
      <c r="A7" s="13" t="s">
        <v>128</v>
      </c>
      <c r="B7" s="14" t="s">
        <v>129</v>
      </c>
    </row>
    <row r="8" customFormat="false" ht="30" hidden="false" customHeight="true" outlineLevel="0" collapsed="false">
      <c r="A8" s="13" t="s">
        <v>130</v>
      </c>
      <c r="B8" s="14" t="s">
        <v>131</v>
      </c>
    </row>
    <row r="9" customFormat="false" ht="30" hidden="false" customHeight="true" outlineLevel="0" collapsed="false">
      <c r="A9" s="13" t="s">
        <v>132</v>
      </c>
      <c r="B9" s="14" t="s">
        <v>133</v>
      </c>
    </row>
    <row r="10" customFormat="false" ht="30" hidden="false" customHeight="true" outlineLevel="0" collapsed="false">
      <c r="A10" s="13" t="s">
        <v>134</v>
      </c>
      <c r="B10" s="14" t="s">
        <v>135</v>
      </c>
    </row>
    <row r="11" customFormat="false" ht="30" hidden="false" customHeight="true" outlineLevel="0" collapsed="false">
      <c r="A11" s="13" t="s">
        <v>136</v>
      </c>
      <c r="B11" s="14" t="s">
        <v>137</v>
      </c>
    </row>
    <row r="12" customFormat="false" ht="30" hidden="false" customHeight="true" outlineLevel="0" collapsed="false">
      <c r="A12" s="13" t="s">
        <v>138</v>
      </c>
      <c r="B12" s="14" t="s">
        <v>139</v>
      </c>
    </row>
    <row r="13" customFormat="false" ht="30" hidden="false" customHeight="true" outlineLevel="0" collapsed="false">
      <c r="A13" s="13" t="s">
        <v>140</v>
      </c>
      <c r="B13" s="14" t="s">
        <v>141</v>
      </c>
    </row>
    <row r="14" customFormat="false" ht="30" hidden="false" customHeight="true" outlineLevel="0" collapsed="false">
      <c r="A14" s="13" t="s">
        <v>142</v>
      </c>
      <c r="B14" s="14" t="s">
        <v>143</v>
      </c>
    </row>
    <row r="15" customFormat="false" ht="30" hidden="false" customHeight="true" outlineLevel="0" collapsed="false">
      <c r="A15" s="13" t="s">
        <v>144</v>
      </c>
      <c r="B15" s="14" t="s">
        <v>145</v>
      </c>
    </row>
    <row r="16" customFormat="false" ht="30" hidden="false" customHeight="true" outlineLevel="0" collapsed="false">
      <c r="A16" s="13" t="s">
        <v>146</v>
      </c>
      <c r="B16" s="14" t="s">
        <v>147</v>
      </c>
    </row>
    <row r="17" customFormat="false" ht="30" hidden="false" customHeight="true" outlineLevel="0" collapsed="false">
      <c r="A17" s="13" t="s">
        <v>148</v>
      </c>
      <c r="B17" s="14" t="s">
        <v>149</v>
      </c>
    </row>
    <row r="18" customFormat="false" ht="30" hidden="false" customHeight="true" outlineLevel="0" collapsed="false">
      <c r="A18" s="13" t="s">
        <v>150</v>
      </c>
      <c r="B18" s="14" t="s">
        <v>151</v>
      </c>
    </row>
    <row r="19" customFormat="false" ht="30" hidden="false" customHeight="true" outlineLevel="0" collapsed="false">
      <c r="A19" s="13" t="s">
        <v>152</v>
      </c>
      <c r="B19" s="14" t="s">
        <v>153</v>
      </c>
    </row>
    <row r="20" customFormat="false" ht="30" hidden="false" customHeight="true" outlineLevel="0" collapsed="false">
      <c r="A20" s="13" t="s">
        <v>154</v>
      </c>
      <c r="B20" s="14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2026-09-15T05:58:53Z</dcterms:created>
  <dc:creator>openpyxl</dc:creator>
  <dc:description/>
  <dc:language>en-US</dc:language>
  <cp:lastModifiedBy/>
  <dcterms:modified xsi:type="dcterms:W3CDTF">2026-09-15T05:58:53Z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
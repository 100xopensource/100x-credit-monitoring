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come Statement" sheetId="1" state="visible" r:id="rId3"/>
    <sheet name="Balance Sheet" sheetId="2" state="visible" r:id="rId4"/>
    <sheet name="Cash Flow Statement" sheetId="3" state="visible" r:id="rId5"/>
    <sheet name="Sources &amp;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<sst xmlns="http://schemas.openxmlformats.org/spreadsheetml/2006/main" count="178" uniqueCount="129">
  <si>
    <t xml:space="preserve">Asteron Care Partners, LLC | Detailed Income Statement</t>
  </si>
  <si>
    <t xml:space="preserve">Company-prepared monthly reporting package | USD (whole dollars) | Unaudited, PROVISIONAL restructuring accounting through Jun 2026 -- see Sources &amp; Notes | Source: monthly.xlsx, 'Income Statement' tab</t>
  </si>
  <si>
    <t xml:space="preserve">Account</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</si>
  <si>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</si>
  <si>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</si>
  <si>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</si>
  <si>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</si>
  <si>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</si>
  <si>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</si>
  <si>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</si>
  <si>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</si>
  <si>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</si>
  <si>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</si>
  <si>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</si>
  <si>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</si>
  <si>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</si>
  <si>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</si>
  <si>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</si>
  <si>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</si>
  <si>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</si>
  <si>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</si>
  <si>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</si>
  <si>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</si>
  <si>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</si>
  <si>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</si>
  <si>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FY2024 (Sep-Dec, partial)</t>
  </si>
  <si>
    <t xml:space="preserve">FY2025</t>
  </si>
  <si>
    <t xml:space="preserve">2026 YTD (Jan-Jun)</t>
  </si>
  <si>
    <t xml:space="preserve">Revenue</t>
  </si>
  <si>
    <t xml:space="preserve">Direct clinical labor</t>
  </si>
  <si>
    <t xml:space="preserve">Contract labor</t>
  </si>
  <si>
    <t xml:space="preserve">Medical supplies</t>
  </si>
  <si>
    <t xml:space="preserve">Other patient service costs</t>
  </si>
  <si>
    <t xml:space="preserve">Cost of Patient Services</t>
  </si>
  <si>
    <t xml:space="preserve">Gross Profit</t>
  </si>
  <si>
    <t xml:space="preserve">Occupancy and site costs</t>
  </si>
  <si>
    <t xml:space="preserve">Corporate and administrative costs</t>
  </si>
  <si>
    <t xml:space="preserve">Reported EBITDA</t>
  </si>
  <si>
    <t xml:space="preserve">Depreciation</t>
  </si>
  <si>
    <t xml:space="preserve">Cash interest</t>
  </si>
  <si>
    <t xml:space="preserve">Debt issuance cost amortization</t>
  </si>
  <si>
    <t xml:space="preserve">Restructuring advisory expense</t>
  </si>
  <si>
    <t xml:space="preserve">Income tax expense</t>
  </si>
  <si>
    <t xml:space="preserve">Bridge upfront fee</t>
  </si>
  <si>
    <t xml:space="preserve">Goodwill impairment</t>
  </si>
  <si>
    <t xml:space="preserve">Net income</t>
  </si>
  <si>
    <t xml:space="preserve">Asteron Care Partners, LLC | Detailed Balance Sheet</t>
  </si>
  <si>
    <t xml:space="preserve">Company-prepared monthly reporting package | USD (whole dollars) | Unaudited, PROVISIONAL restructuring accounting through Jun 2026 (carryover/historical-cost basis, not fresh-start) -- see Sources &amp; Notes | Source: monthly.xlsx, 'Balance Sheet' tab</t>
  </si>
  <si>
    <t xml:space="preserve">FY2024 (Sep-Dec, spot)</t>
  </si>
  <si>
    <t xml:space="preserve">FY2025 (spot)</t>
  </si>
  <si>
    <t xml:space="preserve">2026 YTD (Jun, spot)</t>
  </si>
  <si>
    <t xml:space="preserve">Cash</t>
  </si>
  <si>
    <t xml:space="preserve">Accounts receivable</t>
  </si>
  <si>
    <t xml:space="preserve">Other current assets</t>
  </si>
  <si>
    <t xml:space="preserve">Tax refund receivable</t>
  </si>
  <si>
    <t xml:space="preserve">PP&amp;E, net</t>
  </si>
  <si>
    <t xml:space="preserve">Operating lease ROU assets</t>
  </si>
  <si>
    <t xml:space="preserve">Goodwill</t>
  </si>
  <si>
    <t xml:space="preserve">Total assets</t>
  </si>
  <si>
    <t xml:space="preserve">Accounts payable</t>
  </si>
  <si>
    <t xml:space="preserve">Current tax payable</t>
  </si>
  <si>
    <t xml:space="preserve">Operating lease liabilities</t>
  </si>
  <si>
    <t xml:space="preserve">Funded debt, carrying amount</t>
  </si>
  <si>
    <t xml:space="preserve">Other accrued liabilities</t>
  </si>
  <si>
    <t xml:space="preserve">Total liabilities</t>
  </si>
  <si>
    <t xml:space="preserve">Common equity</t>
  </si>
  <si>
    <t xml:space="preserve">Preferred equity</t>
  </si>
  <si>
    <t xml:space="preserve">Total equity</t>
  </si>
  <si>
    <t xml:space="preserve">Liabilities and equity</t>
  </si>
  <si>
    <t xml:space="preserve">Balance Check (Total assets - Liabilities and equity)</t>
  </si>
  <si>
    <t xml:space="preserve">DEBT &amp; EQUITY ROLL-FORWARD (borrower-certified; source: monthly.xlsx 'Debt and Equity' tab)</t>
  </si>
  <si>
    <t xml:space="preserve">Beginning gross debt</t>
  </si>
  <si>
    <t xml:space="preserve">Draws</t>
  </si>
  <si>
    <t xml:space="preserve">Scheduled principal</t>
  </si>
  <si>
    <t xml:space="preserve">Predecessor payoff</t>
  </si>
  <si>
    <t xml:space="preserve">Legacy facility funding</t>
  </si>
  <si>
    <t xml:space="preserve">Debt converted to preferred</t>
  </si>
  <si>
    <t xml:space="preserve">Ending gross debt</t>
  </si>
  <si>
    <t xml:space="preserve">Unamortized debt issuance costs</t>
  </si>
  <si>
    <t xml:space="preserve">Carrying debt</t>
  </si>
  <si>
    <t xml:space="preserve">COVENANT-SUPPORT ROWS (Fixed Charges inputs; certified Covenant Calculation exhibits -- see Sources &amp; Notes)</t>
  </si>
  <si>
    <t xml:space="preserve">Facility Cash Interest Expense</t>
  </si>
  <si>
    <t xml:space="preserve">Facility Scheduled Debt Principal Payments</t>
  </si>
  <si>
    <t xml:space="preserve">Asteron Care Partners, LLC | Detailed Cash Flow Statement (as reported)</t>
  </si>
  <si>
    <t xml:space="preserve">Company-prepared monthly reporting package | USD (whole dollars) | Unaudited, PROVISIONAL restructuring accounting through Jun 2026 -- see Sources &amp; Notes | Source: monthly.xlsx, 'Cash Flow' tab</t>
  </si>
  <si>
    <t xml:space="preserve">Beginning cash</t>
  </si>
  <si>
    <t xml:space="preserve">Cash from operations</t>
  </si>
  <si>
    <t xml:space="preserve">Cash from investing</t>
  </si>
  <si>
    <t xml:space="preserve">Cash from financing</t>
  </si>
  <si>
    <t xml:space="preserve">Ending cash</t>
  </si>
  <si>
    <t xml:space="preserve">Memo: Cash per Balance Sheet</t>
  </si>
  <si>
    <t xml:space="preserve">Memo: CF-vs-BS cash tie (diff, should be 0)</t>
  </si>
  <si>
    <t xml:space="preserve">Memo: Net income (per Income Statement)</t>
  </si>
  <si>
    <t xml:space="preserve">Entity</t>
  </si>
  <si>
    <t xml:space="preserve">Asteron Care Partners, LLC (consolidated) -- per borrower-config model.entity='consolidated'. No separate divisional/standalone consolidation level is offered in the reporting package.</t>
  </si>
  <si>
    <t xml:space="preserve">Units</t>
  </si>
  <si>
    <t xml:space="preserve">USD, whole dollars (model.scale = 1). Verified against June 2026 revenue ($13,164,599.73) and the Approved Stabilization Budget's own June 2026 figure, same unit; no '$ in thousands' caption anywhere in the source workbooks.</t>
  </si>
  <si>
    <t xml:space="preserve">Basis</t>
  </si>
  <si>
    <t xml:space="preserve">Actuals only -- company-prepared monthly reporting packages (Successor Reporting), unaudited. No proforma/budget/forecast columns included. Every monthly package's own 'Status' tab through June 2026 marks the P&amp;L/BS/CF as PROVISIONAL (TDR framework, instrument-level 10% modification test, CODI, Section 382, and goodwill interim reassessment all remain open) -- successor Balance Sheet, gain/loss, and debt carrying-value figures could still restate once those workpapers conclude.</t>
  </si>
  <si>
    <t xml:space="preserve">Coverage</t>
  </si>
  <si>
    <t xml:space="preserve">Sep 2024 through Jun 2026 (22 months), matching every monthly subfolder present in Successor Reporting (Archive/&lt;YYYY-MM&gt;/ for Sep 2024-May 2026; &lt;YYYY&gt;/&lt;MM&gt;/ for Jun 2026), continuous, no gaps.</t>
  </si>
  <si>
    <t xml:space="preserve">Primary source files</t>
  </si>
  <si>
    <t xml:space="preserve">One monthly.xlsx package per reporting period (Successor Reporting is a continuously-used MONTHLY folder despite its name, spanning both the predecessor/legacy and successor eras). Each month's own package is a single-period snapshot (no hidden multi-month columns, no separate consolidated by-month/YTD file exists anywhere in the deal folder) -- so each ISO month's figures are sourced to that month's own monthly.xlsx (see source-map.json for the exact file per statement per month).</t>
  </si>
  <si>
    <t xml:space="preserve">Restatement scan</t>
  </si>
  <si>
    <t xml:space="preserve">Full scan performed: compared every month's own package against (a) any other package claiming to cover the same period and (b) any consolidated/by-month/YTD file -- neither exists anywhere in Successor Reporting or the wider Asteron deal folder for this borrower (unlike the Nemeris original/corrected-pair pattern). Each of the 22 months is reported exactly once, by exactly one file. Result: ZERO restatements found. restatements.json is written empty (schema present, zero entries).</t>
  </si>
  <si>
    <t xml:space="preserve">Income Statement -- two derived rows</t>
  </si>
  <si>
    <t xml:space="preserve">'Cost of Patient Services' and 'Gross Profit' do NOT exist verbatim on the borrower's own Income Statement (it goes straight from Revenue and four direct-cost lines to 'Reported EBITDA'). Per borrower-config.json paths._model_lines_construction_note, these two rows are INSERTED as live formulas: Cost of Patient Services = SUM(Direct clinical labor, Contract labor, Medical supplies, Other patient service costs) [already-negative lines]; Gross Profit = Revenue + Cost of Patient Services. Independently re-verified against June 2026 to the penny: Revenue 13,164,599.73 + Cost of Patient Services (8,754,304.34) = Gross Profit 4,410,295.39; Gross Profit - Occupancy and site costs 1,557,912.45 - Corporate and administrative costs 1,304,641.66 = 1,547,741.28 = Reported EBITDA, tying exactly. The same two formulas were checked to foot for all 22 months with zero exceptions (see validation notes below).</t>
  </si>
  <si>
    <t xml:space="preserve">Income Statement -- subtotals as formulas</t>
  </si>
  <si>
    <t xml:space="preserve">Per build convention, 'Reported EBITDA' and 'Net income' are live formulas (Reported EBITDA = Gross Profit + Occupancy and site costs + Corporate and administrative costs; Net income = Reported EBITDA + Depreciation + Cash interest + Debt issuance cost amortization + Restructuring advisory expense + Income tax expense + Bridge upfront fee + Goodwill impairment), not hardcoded copies of the source subtotal -- both tie to the source's own printed subtotal in all 22 months to the penny, confirming the source data foots throughout the predecessor / legacy / exit-amendment / A&amp;R eras alike.</t>
  </si>
  <si>
    <t xml:space="preserve">EBITDA bridge</t>
  </si>
  <si>
    <t xml:space="preserve">Per covenant-spec.json#/definitions/EBITDA, compute.ebitda_bridge = 'Reported EBITDA' -- the model's own single pinned EBITDA row, taken AS PARSED (no add-back folded in). covenant-spec.json's step7_signoff explicitly EXCLUDES the constant $553,353.26/month gap between this Reported EBITDA and the borrower's own certified 'Covenant EBITDA' (Covenant Calculation.xlsx TTM Detail), because no executed document supports that add-back in words. This EBITDA bridge is therefore NOT provisional in the sense of 'no covenant spec' -- it is the spec-directed definition -- but the reader should know the FCCR covenant (the only covenant that reads this EBITDA) runs materially below the borrower's own certified figure as a structural, documented, and currently-immaterial-because-suspended gap.</t>
  </si>
  <si>
    <t xml:space="preserve">Covenant-support rows -- CERTIFICATE OVERRIDE (per covenant-spec.json step7_signoff 'amortization_day_count_approximation')</t>
  </si>
  <si>
    <t xml:space="preserve">'Facility Cash Interest Expense' and 'Facility Scheduled Debt Principal Payments' are the two rows debt-service-spec.json's covenant_support_rows names for Fixed_Charges. debt-service-schedule.json (generated engine output) only models the CURRENT A&amp;R facility from its 2026-03-31 funding forward, and is known to use a flat/approximate day-count and amortization-base convention that does NOT reproduce the borrower's certified figures even within its own modeled range (documented in debt-service-spec.json's day_count.ambiguities: e.g. generated June 2026 cash interest 423,725.00 vs. certified 424,150.43). Per the covenant-spec's step7_signoff decision, BOTH rows are instead populated for ALL 22 months directly from the borrower's own CERTIFIED Portfolio Monitoring/&lt;quarter&gt;/Covenant Calculation.xlsx 'TTM Detail' exhibits (Cash interest / Principal columns), which -- because six overlapping quarterly certificates (2025-Q1 through 2026-Q2) together span 2024-04 through 2026-06 continuously -- cover every one of this model's 22 months with ZERO gaps and ZERO cross-quarter conflicts (every month that appears in more than one quarter's TTM Detail carries an identical figure to the penny). The generated debt-service-schedule.json was therefore NOT used as a fallback source for any month in this build -- certified figures alone were sufficient for the model's full Sep 2024-Jun 2026 range. Note the certified figures span the predecessor (11.50%/0.70%-month), legacy (same economics), Exit Amendment bridge (11.50% interest-only, hence Principal = 0.00 for Dec 2025-Mar 2026), and A&amp;R (10.00%/0.10%-month, effective Apr 2026) facilities in turn -- each period's own contractual debt service, not a single facility's figure held constant. No non-facility scheduled debt (vehicle loans, SBA notes, etc.) is disclosed anywhere in the deal folder for this borrower, so nothing is added to the principal row beyond the certified facility figure.</t>
  </si>
  <si>
    <t xml:space="preserve">Balance Sheet -- carryover accounting</t>
  </si>
  <si>
    <t xml:space="preserve">Per covenant-spec.json accounting_basis and borrower-config.json paths._restructuring_timeline_note, the successor balance sheet (Apr 2026 forward per borrower-config.json analysis.basis_breaks) uses CARRYOVER (historical-cost) accounting, NOT a fresh-start/revalued basis -- confirmed against the IC Memo's 'ACCOUNTING STATUS' section. TDR framework selection, the instrument-level 10% modification test, CODI, and Section 382 conclusions all remain PENDING as of the June 2026 package; successor Balance Sheet figures could still restate.</t>
  </si>
  <si>
    <t xml:space="preserve">Balance Sheet -- no current/non-current subtotal, no inventory</t>
  </si>
  <si>
    <t xml:space="preserve">Per borrower-config.json analysis_lines._omitted_note: the Balance Sheet carries a flat asset/liability list with no Total Current Assets/Total Current Liabilities subtotal and no inventory line (healthcare-services business); neither is invented here. current_ratio/working-capital/DIO ratios will be suppressed downstream with a disclosed reason.</t>
  </si>
  <si>
    <t xml:space="preserve">Balance Sheet FY/YTD columns</t>
  </si>
  <si>
    <t xml:space="preserve">FY2024/FY2025/2026-YTD columns are PERIOD-END (spot) snapshots for every BALANCE/stock-type row (asset/liability/equity lines, Total assets/liabilities/equity, Liabilities and equity, Balance Check, and -- in the Debt &amp; Equity Roll-Forward block -- Ending gross debt, Unamortized debt issuance costs, and Carrying debt), consistent with balance-sheet convention (summing point-in-time balances across months is not meaningful). FLOW-type rows (Draws, Scheduled principal, Predecessor payoff, Legacy facility funding, Debt converted to preferred, and both covenant-support rows Facility Cash Interest Expense / Facility Scheduled Debt Principal Payments) instead SUM over the period, matching the Income Statement and Cash Flow Statement convention, since a period total is what a Fixed-Charges-style coverage figure needs. 'Beginning gross debt' uses the FIRST month of the period (a beginning-of-period spot value) rather than the last. JUDGMENT CALL: assembling-rules.md's 'Include FY / YTD total columns (SUM formulas)' bullet is written generically; this build read it as applying literally to flow statements (IS, CF) and to the Balance Sheet's own flow-type memo rows, while treating true balance/stock rows as period-end spot references rather than sums (summing a balance across months has no meaning). The alternative reading -- SUM every BS row literally -- would produce a nonsensical 'FY2025 Total Assets' equal to twelve months of asset balances added together; this build's reading matches the prior canonical build for this plugin (Nemeris Field Systems) exactly.</t>
  </si>
  <si>
    <t xml:space="preserve">Debt &amp; Equity Roll-Forward block</t>
  </si>
  <si>
    <t xml:space="preserve">Reproduces the borrower's own 'Debt and Equity' tab (Beginning gross debt, Draws, Scheduled principal, Predecessor payoff, Legacy facility funding, Debt converted to preferred, Ending gross debt, Unamortized debt issuance costs, Carrying debt) as supplementary detail beyond the core Balance Sheet -- verified to foot exactly in all 22 months (Ending gross debt = SUM of the six components above it; Carrying debt = Ending gross debt + Unamortized debt issuance costs) and verified to tie exactly to the Balance Sheet's own 'Funded debt, carrying amount' line every month. The March 2026 exit-capitalization exchange is visible directly in this roll-forward: Draws +$7,000,000.00 (new-money term debt), Debt converted to preferred -$16,910,820.62 (predecessor/legacy debt exchanged into Series A preferred equity), Ending gross debt $51,000,000.00 (the reinstated $44,000,000.00 + new-money $7,000,000.00).</t>
  </si>
  <si>
    <t xml:space="preserve">Cash Flow -- as reported</t>
  </si>
  <si>
    <t xml:space="preserve">The borrower's 'Cash Flow' tab delivers a full month every period (Beginning cash, Cash from operations, Cash from investing, Cash from financing, Ending cash) -- used AS REPORTED, not derived. Verified continuous and self-consistent across all 22 months: each month's Beginning cash equals the prior month's Ending cash (first model month, Sep 2024, Beginning cash = $9,352,790.80, carried forward from the package's own figure), Ending cash = Beginning + CFO + CFI + CFF exactly, and Ending cash ties to the Balance Sheet's own Cash line exactly, every month. The source statement is presented only at this four-line summary level (no line-item detail, no Net-Income-to-CFO reconciliation) -- none is invented; a 'Memo: Net income (per Income Statement)' row is carried for reference only, not as a tie-out, since the source discloses no reconciling detail to check it against.</t>
  </si>
  <si>
    <t xml:space="preserve">Materiality threshold (pinned)</t>
  </si>
  <si>
    <t xml:space="preserve">Restatement / tie-out materiality threshold: the greater of $25,000 or 1% of the line, per assembling-rules.md standard. Not triggered this build -- zero restatements found.</t>
  </si>
  <si>
    <t xml:space="preserve">Validation</t>
  </si>
  <si>
    <t xml:space="preserve">Balance sheet balances every month (Balance Check row = 0, verified for all 22 months pre-build in source data and reproduced live in the workbook's own formulas). Income-statement subtotals foot (Cost of Patient Services, Gross Profit, Reported EBITDA, Net income all derive correctly from detail lines, verified for all 22 months, zero exceptions). Cash Flow ties to the Balance Sheet (cash) by construction every month via its own memo tie-out row. Debt &amp; Equity Roll-Forward ties to the Balance Sheet's Funded debt, carrying amount line every month.</t>
  </si>
  <si>
    <t xml:space="preserve">Build tool / recalc</t>
  </si>
  <si>
    <t xml:space="preserve">Built with openpyxl; formula cells recalculated (cached values populated) via headless LibreOffice as the LAST write, per assembling-rules.md. Gated with references/validate_model.py before becoming canonical.</t>
  </si>
</sst>
</file>

<file path=xl/styles.xml><?xml version="1.0" encoding="utf-8"?>
<styleSheet xmlns="http://schemas.openxmlformats.org/spreadsheetml/2006/main">
  <numFmts count="3">
    <numFmt numFmtId="164" formatCode="General"/>
    <numFmt numFmtId="165" formatCode="@"/>
    <numFmt numFmtId="166" formatCode="#,##0.00"/>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0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0" t="s">
        <v>0</v>
      </c>
    </row>
    <row r="2" customFormat="false" ht="15" hidden="false" customHeight="false" outlineLevel="0" collapsed="false">
      <c r="A2" s="0" t="s">
        <v>1</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row>
    <row r="7" customFormat="false" ht="15" hidden="false" customHeight="false" outlineLevel="0" collapsed="false">
      <c r="A7" s="0" t="s">
        <v>28</v>
      </c>
      <c r="B7" s="3" t="n">
        <v>14643907.6</v>
      </c>
      <c r="C7" s="3" t="n">
        <v>15246153.83</v>
      </c>
      <c r="D7" s="3" t="n">
        <v>15656104.95</v>
      </c>
      <c r="E7" s="3" t="n">
        <v>13389545.35</v>
      </c>
      <c r="F7" s="3" t="n">
        <v>14164178.13</v>
      </c>
      <c r="G7" s="3" t="n">
        <v>14413745.09</v>
      </c>
      <c r="H7" s="3" t="n">
        <v>14924661.45</v>
      </c>
      <c r="I7" s="3" t="n">
        <v>15267517.44</v>
      </c>
      <c r="J7" s="3" t="n">
        <v>15610914.45</v>
      </c>
      <c r="K7" s="3" t="n">
        <v>15888032.24</v>
      </c>
      <c r="L7" s="3" t="n">
        <v>12283731.68</v>
      </c>
      <c r="M7" s="3" t="n">
        <v>11863594.65</v>
      </c>
      <c r="N7" s="3" t="n">
        <v>12125234.6</v>
      </c>
      <c r="O7" s="3" t="n">
        <v>12593894.01</v>
      </c>
      <c r="P7" s="3" t="n">
        <v>13021718.94</v>
      </c>
      <c r="Q7" s="3" t="n">
        <v>11093057.27</v>
      </c>
      <c r="R7" s="3" t="n">
        <v>10891582.9</v>
      </c>
      <c r="S7" s="3" t="n">
        <v>11060842.52</v>
      </c>
      <c r="T7" s="3" t="n">
        <v>11470546.33</v>
      </c>
      <c r="U7" s="3" t="n">
        <v>12654927.83</v>
      </c>
      <c r="V7" s="3" t="n">
        <v>12875350</v>
      </c>
      <c r="W7" s="3" t="n">
        <v>13164599.73</v>
      </c>
      <c r="X7" s="4" t="n">
        <f aca="false">SUM(B7:E7)</f>
        <v>58935711.73</v>
      </c>
      <c r="Y7" s="4" t="n">
        <f aca="false">SUM(F7:Q7)</f>
        <v>163250279.95</v>
      </c>
      <c r="Z7" s="4" t="n">
        <f aca="false">SUM(R7:W7)</f>
        <v>72117849.31</v>
      </c>
    </row>
    <row r="8" customFormat="false" ht="15" hidden="false" customHeight="false" outlineLevel="0" collapsed="false">
      <c r="A8" s="0" t="s">
        <v>29</v>
      </c>
      <c r="B8" s="3" t="n">
        <v>-6098052.75</v>
      </c>
      <c r="C8" s="3" t="n">
        <v>-6098052.75</v>
      </c>
      <c r="D8" s="3" t="n">
        <v>-6098052.75</v>
      </c>
      <c r="E8" s="3" t="n">
        <v>-6098052.75</v>
      </c>
      <c r="F8" s="3" t="n">
        <v>-6079463.1</v>
      </c>
      <c r="G8" s="3" t="n">
        <v>-6079463.1</v>
      </c>
      <c r="H8" s="3" t="n">
        <v>-6079463.1</v>
      </c>
      <c r="I8" s="3" t="n">
        <v>-6079463.1</v>
      </c>
      <c r="J8" s="3" t="n">
        <v>-6079463.1</v>
      </c>
      <c r="K8" s="3" t="n">
        <v>-6079463.1</v>
      </c>
      <c r="L8" s="3" t="n">
        <v>-5717290.06</v>
      </c>
      <c r="M8" s="3" t="n">
        <v>-5717290.06</v>
      </c>
      <c r="N8" s="3" t="n">
        <v>-5717290.06</v>
      </c>
      <c r="O8" s="3" t="n">
        <v>-5717290.06</v>
      </c>
      <c r="P8" s="3" t="n">
        <v>-5717290.06</v>
      </c>
      <c r="Q8" s="3" t="n">
        <v>-5717290.06</v>
      </c>
      <c r="R8" s="3" t="n">
        <v>-5717290.06</v>
      </c>
      <c r="S8" s="3" t="n">
        <v>-5717290.06</v>
      </c>
      <c r="T8" s="3" t="n">
        <v>-5717290.06</v>
      </c>
      <c r="U8" s="3" t="n">
        <v>-5758889.26</v>
      </c>
      <c r="V8" s="3" t="n">
        <v>-5758889.26</v>
      </c>
      <c r="W8" s="3" t="n">
        <v>-5758889.26</v>
      </c>
      <c r="X8" s="4" t="n">
        <f aca="false">SUM(B8:E8)</f>
        <v>-24392211</v>
      </c>
      <c r="Y8" s="4" t="n">
        <f aca="false">SUM(F8:Q8)</f>
        <v>-70780518.96</v>
      </c>
      <c r="Z8" s="4" t="n">
        <f aca="false">SUM(R8:W8)</f>
        <v>-34428537.96</v>
      </c>
    </row>
    <row r="9" customFormat="false" ht="15" hidden="false" customHeight="false" outlineLevel="0" collapsed="false">
      <c r="A9" s="0" t="s">
        <v>30</v>
      </c>
      <c r="B9" s="3" t="n">
        <v>-595107</v>
      </c>
      <c r="C9" s="3" t="n">
        <v>-595107</v>
      </c>
      <c r="D9" s="3" t="n">
        <v>-595107</v>
      </c>
      <c r="E9" s="3" t="n">
        <v>-595107</v>
      </c>
      <c r="F9" s="3" t="n">
        <v>-620217</v>
      </c>
      <c r="G9" s="3" t="n">
        <v>-620217</v>
      </c>
      <c r="H9" s="3" t="n">
        <v>-620217</v>
      </c>
      <c r="I9" s="3" t="n">
        <v>-620217</v>
      </c>
      <c r="J9" s="3" t="n">
        <v>-620217</v>
      </c>
      <c r="K9" s="3" t="n">
        <v>-620217</v>
      </c>
      <c r="L9" s="3" t="n">
        <v>-1949280</v>
      </c>
      <c r="M9" s="3" t="n">
        <v>-1949280</v>
      </c>
      <c r="N9" s="3" t="n">
        <v>-1949280</v>
      </c>
      <c r="O9" s="3" t="n">
        <v>-1949280</v>
      </c>
      <c r="P9" s="3" t="n">
        <v>-1949280</v>
      </c>
      <c r="Q9" s="3" t="n">
        <v>-1949280</v>
      </c>
      <c r="R9" s="3" t="n">
        <v>-1674930</v>
      </c>
      <c r="S9" s="3" t="n">
        <v>-1674930</v>
      </c>
      <c r="T9" s="3" t="n">
        <v>-1674930</v>
      </c>
      <c r="U9" s="3" t="n">
        <v>-1403602.5</v>
      </c>
      <c r="V9" s="3" t="n">
        <v>-1403602.5</v>
      </c>
      <c r="W9" s="3" t="n">
        <v>-1319386.35</v>
      </c>
      <c r="X9" s="4" t="n">
        <f aca="false">SUM(B9:E9)</f>
        <v>-2380428</v>
      </c>
      <c r="Y9" s="4" t="n">
        <f aca="false">SUM(F9:Q9)</f>
        <v>-15416982</v>
      </c>
      <c r="Z9" s="4" t="n">
        <f aca="false">SUM(R9:W9)</f>
        <v>-9151381.35</v>
      </c>
    </row>
    <row r="10" customFormat="false" ht="15" hidden="false" customHeight="false" outlineLevel="0" collapsed="false">
      <c r="A10" s="0" t="s">
        <v>31</v>
      </c>
      <c r="B10" s="3" t="n">
        <v>-1215411.92</v>
      </c>
      <c r="C10" s="3" t="n">
        <v>-1265493.95</v>
      </c>
      <c r="D10" s="3" t="n">
        <v>-1299620.28</v>
      </c>
      <c r="E10" s="3" t="n">
        <v>-1111548.17</v>
      </c>
      <c r="F10" s="3" t="n">
        <v>-1176352.26</v>
      </c>
      <c r="G10" s="3" t="n">
        <v>-1197152.92</v>
      </c>
      <c r="H10" s="3" t="n">
        <v>-1239683.6</v>
      </c>
      <c r="I10" s="3" t="n">
        <v>-1268241.91</v>
      </c>
      <c r="J10" s="3" t="n">
        <v>-1296835.16</v>
      </c>
      <c r="K10" s="3" t="n">
        <v>-1319950.59</v>
      </c>
      <c r="L10" s="3" t="n">
        <v>-972639.38</v>
      </c>
      <c r="M10" s="3" t="n">
        <v>-939456.71</v>
      </c>
      <c r="N10" s="3" t="n">
        <v>-960241.58</v>
      </c>
      <c r="O10" s="3" t="n">
        <v>-997428.14</v>
      </c>
      <c r="P10" s="3" t="n">
        <v>-1031377.03</v>
      </c>
      <c r="Q10" s="3" t="n">
        <v>-878633.63</v>
      </c>
      <c r="R10" s="3" t="n">
        <v>-841412.83</v>
      </c>
      <c r="S10" s="3" t="n">
        <v>-854561.75</v>
      </c>
      <c r="T10" s="3" t="n">
        <v>-886292.73</v>
      </c>
      <c r="U10" s="3" t="n">
        <v>-1003530.69</v>
      </c>
      <c r="V10" s="3" t="n">
        <v>-1021005.73</v>
      </c>
      <c r="W10" s="3" t="n">
        <v>-1044127.93</v>
      </c>
      <c r="X10" s="4" t="n">
        <f aca="false">SUM(B10:E10)</f>
        <v>-4892074.32</v>
      </c>
      <c r="Y10" s="4" t="n">
        <f aca="false">SUM(F10:Q10)</f>
        <v>-13277992.91</v>
      </c>
      <c r="Z10" s="4" t="n">
        <f aca="false">SUM(R10:W10)</f>
        <v>-5650931.66</v>
      </c>
    </row>
    <row r="11" customFormat="false" ht="15" hidden="false" customHeight="false" outlineLevel="0" collapsed="false">
      <c r="A11" s="0" t="s">
        <v>32</v>
      </c>
      <c r="B11" s="3" t="n">
        <v>-702907.56</v>
      </c>
      <c r="C11" s="3" t="n">
        <v>-731815.39</v>
      </c>
      <c r="D11" s="3" t="n">
        <v>-751493.04</v>
      </c>
      <c r="E11" s="3" t="n">
        <v>-642698.18</v>
      </c>
      <c r="F11" s="3" t="n">
        <v>-679880.54</v>
      </c>
      <c r="G11" s="3" t="n">
        <v>-691859.77</v>
      </c>
      <c r="H11" s="3" t="n">
        <v>-716383.74</v>
      </c>
      <c r="I11" s="3" t="n">
        <v>-732840.83</v>
      </c>
      <c r="J11" s="3" t="n">
        <v>-749323.9</v>
      </c>
      <c r="K11" s="3" t="n">
        <v>-762625.55</v>
      </c>
      <c r="L11" s="3" t="n">
        <v>-589619.13</v>
      </c>
      <c r="M11" s="3" t="n">
        <v>-569452.53</v>
      </c>
      <c r="N11" s="3" t="n">
        <v>-582011.26</v>
      </c>
      <c r="O11" s="3" t="n">
        <v>-604506.9</v>
      </c>
      <c r="P11" s="3" t="n">
        <v>-625042.5</v>
      </c>
      <c r="Q11" s="3" t="n">
        <v>-532466.74</v>
      </c>
      <c r="R11" s="3" t="n">
        <v>-522795.97</v>
      </c>
      <c r="S11" s="3" t="n">
        <v>-530920.45</v>
      </c>
      <c r="T11" s="3" t="n">
        <v>-550586.21</v>
      </c>
      <c r="U11" s="3" t="n">
        <v>-607436.55</v>
      </c>
      <c r="V11" s="3" t="n">
        <v>-618016.81</v>
      </c>
      <c r="W11" s="3" t="n">
        <v>-631900.8</v>
      </c>
      <c r="X11" s="4" t="n">
        <f aca="false">SUM(B11:E11)</f>
        <v>-2828914.17</v>
      </c>
      <c r="Y11" s="4" t="n">
        <f aca="false">SUM(F11:Q11)</f>
        <v>-7836013.39</v>
      </c>
      <c r="Z11" s="4" t="n">
        <f aca="false">SUM(R11:W11)</f>
        <v>-3461656.79</v>
      </c>
    </row>
    <row r="12" customFormat="false" ht="15" hidden="false" customHeight="false" outlineLevel="0" collapsed="false">
      <c r="A12" s="0" t="s">
        <v>33</v>
      </c>
      <c r="B12" s="4" t="n">
        <f aca="false">SUM(B8:B11)</f>
        <v>-8611479.23</v>
      </c>
      <c r="C12" s="4" t="n">
        <f aca="false">SUM(C8:C11)</f>
        <v>-8690469.09</v>
      </c>
      <c r="D12" s="4" t="n">
        <f aca="false">SUM(D8:D11)</f>
        <v>-8744273.07</v>
      </c>
      <c r="E12" s="4" t="n">
        <f aca="false">SUM(E8:E11)</f>
        <v>-8447406.1</v>
      </c>
      <c r="F12" s="4" t="n">
        <f aca="false">SUM(F8:F11)</f>
        <v>-8555912.9</v>
      </c>
      <c r="G12" s="4" t="n">
        <f aca="false">SUM(G8:G11)</f>
        <v>-8588692.79</v>
      </c>
      <c r="H12" s="4" t="n">
        <f aca="false">SUM(H8:H11)</f>
        <v>-8655747.44</v>
      </c>
      <c r="I12" s="4" t="n">
        <f aca="false">SUM(I8:I11)</f>
        <v>-8700762.84</v>
      </c>
      <c r="J12" s="4" t="n">
        <f aca="false">SUM(J8:J11)</f>
        <v>-8745839.16</v>
      </c>
      <c r="K12" s="4" t="n">
        <f aca="false">SUM(K8:K11)</f>
        <v>-8782256.24</v>
      </c>
      <c r="L12" s="4" t="n">
        <f aca="false">SUM(L8:L11)</f>
        <v>-9228828.57</v>
      </c>
      <c r="M12" s="4" t="n">
        <f aca="false">SUM(M8:M11)</f>
        <v>-9175479.3</v>
      </c>
      <c r="N12" s="4" t="n">
        <f aca="false">SUM(N8:N11)</f>
        <v>-9208822.9</v>
      </c>
      <c r="O12" s="4" t="n">
        <f aca="false">SUM(O8:O11)</f>
        <v>-9268505.1</v>
      </c>
      <c r="P12" s="4" t="n">
        <f aca="false">SUM(P8:P11)</f>
        <v>-9322989.59</v>
      </c>
      <c r="Q12" s="4" t="n">
        <f aca="false">SUM(Q8:Q11)</f>
        <v>-9077670.43</v>
      </c>
      <c r="R12" s="4" t="n">
        <f aca="false">SUM(R8:R11)</f>
        <v>-8756428.86</v>
      </c>
      <c r="S12" s="4" t="n">
        <f aca="false">SUM(S8:S11)</f>
        <v>-8777702.26</v>
      </c>
      <c r="T12" s="4" t="n">
        <f aca="false">SUM(T8:T11)</f>
        <v>-8829099</v>
      </c>
      <c r="U12" s="4" t="n">
        <f aca="false">SUM(U8:U11)</f>
        <v>-8773459</v>
      </c>
      <c r="V12" s="4" t="n">
        <f aca="false">SUM(V8:V11)</f>
        <v>-8801514.3</v>
      </c>
      <c r="W12" s="4" t="n">
        <f aca="false">SUM(W8:W11)</f>
        <v>-8754304.34</v>
      </c>
      <c r="X12" s="4" t="n">
        <f aca="false">SUM(B12:E12)</f>
        <v>-34493627.49</v>
      </c>
      <c r="Y12" s="4" t="n">
        <f aca="false">SUM(F12:Q12)</f>
        <v>-107311507.26</v>
      </c>
      <c r="Z12" s="4" t="n">
        <f aca="false">SUM(R12:W12)</f>
        <v>-52692507.76</v>
      </c>
    </row>
    <row r="13" customFormat="false" ht="15" hidden="false" customHeight="false" outlineLevel="0" collapsed="false">
      <c r="A13" s="0" t="s">
        <v>34</v>
      </c>
      <c r="B13" s="4" t="n">
        <f aca="false">B7+B12</f>
        <v>6032428.37</v>
      </c>
      <c r="C13" s="4" t="n">
        <f aca="false">C7+C12</f>
        <v>6555684.74</v>
      </c>
      <c r="D13" s="4" t="n">
        <f aca="false">D7+D12</f>
        <v>6911831.88</v>
      </c>
      <c r="E13" s="4" t="n">
        <f aca="false">E7+E12</f>
        <v>4942139.25</v>
      </c>
      <c r="F13" s="4" t="n">
        <f aca="false">F7+F12</f>
        <v>5608265.23</v>
      </c>
      <c r="G13" s="4" t="n">
        <f aca="false">G7+G12</f>
        <v>5825052.3</v>
      </c>
      <c r="H13" s="4" t="n">
        <f aca="false">H7+H12</f>
        <v>6268914.01</v>
      </c>
      <c r="I13" s="4" t="n">
        <f aca="false">I7+I12</f>
        <v>6566754.6</v>
      </c>
      <c r="J13" s="4" t="n">
        <f aca="false">J7+J12</f>
        <v>6865075.29</v>
      </c>
      <c r="K13" s="4" t="n">
        <f aca="false">K7+K12</f>
        <v>7105776</v>
      </c>
      <c r="L13" s="4" t="n">
        <f aca="false">L7+L12</f>
        <v>3054903.11</v>
      </c>
      <c r="M13" s="4" t="n">
        <f aca="false">M7+M12</f>
        <v>2688115.35</v>
      </c>
      <c r="N13" s="4" t="n">
        <f aca="false">N7+N12</f>
        <v>2916411.7</v>
      </c>
      <c r="O13" s="4" t="n">
        <f aca="false">O7+O12</f>
        <v>3325388.91</v>
      </c>
      <c r="P13" s="4" t="n">
        <f aca="false">P7+P12</f>
        <v>3698729.35</v>
      </c>
      <c r="Q13" s="4" t="n">
        <f aca="false">Q7+Q12</f>
        <v>2015386.84</v>
      </c>
      <c r="R13" s="4" t="n">
        <f aca="false">R7+R12</f>
        <v>2135154.04</v>
      </c>
      <c r="S13" s="4" t="n">
        <f aca="false">S7+S12</f>
        <v>2283140.26</v>
      </c>
      <c r="T13" s="4" t="n">
        <f aca="false">T7+T12</f>
        <v>2641447.33</v>
      </c>
      <c r="U13" s="4" t="n">
        <f aca="false">U7+U12</f>
        <v>3881468.83</v>
      </c>
      <c r="V13" s="4" t="n">
        <f aca="false">V7+V12</f>
        <v>4073835.7</v>
      </c>
      <c r="W13" s="4" t="n">
        <f aca="false">W7+W12</f>
        <v>4410295.39</v>
      </c>
      <c r="X13" s="4" t="n">
        <f aca="false">SUM(B13:E13)</f>
        <v>24442084.24</v>
      </c>
      <c r="Y13" s="4" t="n">
        <f aca="false">SUM(F13:Q13)</f>
        <v>55938772.69</v>
      </c>
      <c r="Z13" s="4" t="n">
        <f aca="false">SUM(R13:W13)</f>
        <v>19425341.55</v>
      </c>
    </row>
    <row r="14" customFormat="false" ht="15" hidden="false" customHeight="false" outlineLevel="0" collapsed="false">
      <c r="A14" s="0" t="s">
        <v>35</v>
      </c>
      <c r="B14" s="3" t="n">
        <v>-1394836.45</v>
      </c>
      <c r="C14" s="3" t="n">
        <v>-1426153.26</v>
      </c>
      <c r="D14" s="3" t="n">
        <v>-1447470.7</v>
      </c>
      <c r="E14" s="3" t="n">
        <v>-1329609.64</v>
      </c>
      <c r="F14" s="3" t="n">
        <v>-1569890.53</v>
      </c>
      <c r="G14" s="3" t="n">
        <v>-1582868.01</v>
      </c>
      <c r="H14" s="3" t="n">
        <v>-1609435.64</v>
      </c>
      <c r="I14" s="3" t="n">
        <v>-1627264.16</v>
      </c>
      <c r="J14" s="3" t="n">
        <v>-1645120.8</v>
      </c>
      <c r="K14" s="3" t="n">
        <v>-1659530.92</v>
      </c>
      <c r="L14" s="3" t="n">
        <v>-2227107.32</v>
      </c>
      <c r="M14" s="3" t="n">
        <v>-2205260.19</v>
      </c>
      <c r="N14" s="3" t="n">
        <v>-2218865.46</v>
      </c>
      <c r="O14" s="3" t="n">
        <v>-2243235.73</v>
      </c>
      <c r="P14" s="3" t="n">
        <v>-2265482.65</v>
      </c>
      <c r="Q14" s="3" t="n">
        <v>-2165192.23</v>
      </c>
      <c r="R14" s="3" t="n">
        <v>-1659715.56</v>
      </c>
      <c r="S14" s="3" t="n">
        <v>-1668517.08</v>
      </c>
      <c r="T14" s="3" t="n">
        <v>-1689821.67</v>
      </c>
      <c r="U14" s="3" t="n">
        <v>-1531409.5</v>
      </c>
      <c r="V14" s="3" t="n">
        <v>-1542871.44</v>
      </c>
      <c r="W14" s="3" t="n">
        <v>-1557912.45</v>
      </c>
      <c r="X14" s="4" t="n">
        <f aca="false">SUM(B14:E14)</f>
        <v>-5598070.05</v>
      </c>
      <c r="Y14" s="4" t="n">
        <f aca="false">SUM(F14:Q14)</f>
        <v>-23019253.64</v>
      </c>
      <c r="Z14" s="4" t="n">
        <f aca="false">SUM(R14:W14)</f>
        <v>-9650247.7</v>
      </c>
    </row>
    <row r="15" customFormat="false" ht="15" hidden="false" customHeight="false" outlineLevel="0" collapsed="false">
      <c r="A15" s="0" t="s">
        <v>36</v>
      </c>
      <c r="B15" s="3" t="n">
        <v>-1450763.51</v>
      </c>
      <c r="C15" s="3" t="n">
        <v>-1510423.75</v>
      </c>
      <c r="D15" s="3" t="n">
        <v>-1551128.81</v>
      </c>
      <c r="E15" s="3" t="n">
        <v>-1326467.98</v>
      </c>
      <c r="F15" s="3" t="n">
        <v>-1403170.94</v>
      </c>
      <c r="G15" s="3" t="n">
        <v>-1427958.68</v>
      </c>
      <c r="H15" s="3" t="n">
        <v>-1478392.19</v>
      </c>
      <c r="I15" s="3" t="n">
        <v>-1512332.23</v>
      </c>
      <c r="J15" s="3" t="n">
        <v>-1546612.58</v>
      </c>
      <c r="K15" s="3" t="n">
        <v>-1573898.07</v>
      </c>
      <c r="L15" s="3" t="n">
        <v>-1216932.49</v>
      </c>
      <c r="M15" s="3" t="n">
        <v>-1175116.49</v>
      </c>
      <c r="N15" s="3" t="n">
        <v>-1201147.55</v>
      </c>
      <c r="O15" s="3" t="n">
        <v>-1247598.57</v>
      </c>
      <c r="P15" s="3" t="n">
        <v>-1289934.6</v>
      </c>
      <c r="Q15" s="3" t="n">
        <v>-1099013.92</v>
      </c>
      <c r="R15" s="3" t="n">
        <v>-1079010.36</v>
      </c>
      <c r="S15" s="3" t="n">
        <v>-1095705.46</v>
      </c>
      <c r="T15" s="3" t="n">
        <v>-1136360.91</v>
      </c>
      <c r="U15" s="3" t="n">
        <v>-1254154.01</v>
      </c>
      <c r="V15" s="3" t="n">
        <v>-1276089.93</v>
      </c>
      <c r="W15" s="3" t="n">
        <v>-1304641.66</v>
      </c>
      <c r="X15" s="4" t="n">
        <f aca="false">SUM(B15:E15)</f>
        <v>-5838784.05</v>
      </c>
      <c r="Y15" s="4" t="n">
        <f aca="false">SUM(F15:Q15)</f>
        <v>-16172108.31</v>
      </c>
      <c r="Z15" s="4" t="n">
        <f aca="false">SUM(R15:W15)</f>
        <v>-7145962.33</v>
      </c>
    </row>
    <row r="16" customFormat="false" ht="15" hidden="false" customHeight="false" outlineLevel="0" collapsed="false">
      <c r="A16" s="0" t="s">
        <v>37</v>
      </c>
      <c r="B16" s="4" t="n">
        <f aca="false">B13+B14+B15</f>
        <v>3186828.41</v>
      </c>
      <c r="C16" s="4" t="n">
        <f aca="false">C13+C14+C15</f>
        <v>3619107.73</v>
      </c>
      <c r="D16" s="4" t="n">
        <f aca="false">D13+D14+D15</f>
        <v>3913232.37</v>
      </c>
      <c r="E16" s="4" t="n">
        <f aca="false">E13+E14+E15</f>
        <v>2286061.63</v>
      </c>
      <c r="F16" s="4" t="n">
        <f aca="false">F13+F14+F15</f>
        <v>2635203.76</v>
      </c>
      <c r="G16" s="4" t="n">
        <f aca="false">G13+G14+G15</f>
        <v>2814225.61</v>
      </c>
      <c r="H16" s="4" t="n">
        <f aca="false">H13+H14+H15</f>
        <v>3181086.18</v>
      </c>
      <c r="I16" s="4" t="n">
        <f aca="false">I13+I14+I15</f>
        <v>3427158.21</v>
      </c>
      <c r="J16" s="4" t="n">
        <f aca="false">J13+J14+J15</f>
        <v>3673341.91</v>
      </c>
      <c r="K16" s="4" t="n">
        <f aca="false">K13+K14+K15</f>
        <v>3872347.01</v>
      </c>
      <c r="L16" s="4" t="n">
        <f aca="false">L13+L14+L15</f>
        <v>-389136.7</v>
      </c>
      <c r="M16" s="4" t="n">
        <f aca="false">M13+M14+M15</f>
        <v>-692261.329999998</v>
      </c>
      <c r="N16" s="4" t="n">
        <f aca="false">N13+N14+N15</f>
        <v>-503601.310000001</v>
      </c>
      <c r="O16" s="4" t="n">
        <f aca="false">O13+O14+O15</f>
        <v>-165445.39</v>
      </c>
      <c r="P16" s="4" t="n">
        <f aca="false">P13+P14+P15</f>
        <v>143312.1</v>
      </c>
      <c r="Q16" s="4" t="n">
        <f aca="false">Q13+Q14+Q15</f>
        <v>-1248819.31</v>
      </c>
      <c r="R16" s="4" t="n">
        <f aca="false">R13+R14+R15</f>
        <v>-603571.879999999</v>
      </c>
      <c r="S16" s="4" t="n">
        <f aca="false">S13+S14+S15</f>
        <v>-481082.28</v>
      </c>
      <c r="T16" s="4" t="n">
        <f aca="false">T13+T14+T15</f>
        <v>-184735.25</v>
      </c>
      <c r="U16" s="4" t="n">
        <f aca="false">U13+U14+U15</f>
        <v>1095905.32</v>
      </c>
      <c r="V16" s="4" t="n">
        <f aca="false">V13+V14+V15</f>
        <v>1254874.33</v>
      </c>
      <c r="W16" s="4" t="n">
        <f aca="false">W13+W14+W15</f>
        <v>1547741.28</v>
      </c>
      <c r="X16" s="4" t="n">
        <f aca="false">SUM(B16:E16)</f>
        <v>13005230.14</v>
      </c>
      <c r="Y16" s="4" t="n">
        <f aca="false">SUM(F16:Q16)</f>
        <v>16747410.74</v>
      </c>
      <c r="Z16" s="4" t="n">
        <f aca="false">SUM(R16:W16)</f>
        <v>2629131.52</v>
      </c>
    </row>
    <row r="17" customFormat="false" ht="15" hidden="false" customHeight="false" outlineLevel="0" collapsed="false">
      <c r="A17" s="0" t="s">
        <v>38</v>
      </c>
      <c r="B17" s="3" t="n">
        <v>-1093236.58</v>
      </c>
      <c r="C17" s="3" t="n">
        <v>-1116524.63</v>
      </c>
      <c r="D17" s="3" t="n">
        <v>-1139348.75</v>
      </c>
      <c r="E17" s="3" t="n">
        <v>-1158253.82</v>
      </c>
      <c r="F17" s="3" t="n">
        <v>-872646.66</v>
      </c>
      <c r="G17" s="3" t="n">
        <v>-894820.45</v>
      </c>
      <c r="H17" s="3" t="n">
        <v>-916708.35</v>
      </c>
      <c r="I17" s="3" t="n">
        <v>-938357.92</v>
      </c>
      <c r="J17" s="3" t="n">
        <v>-961674.58</v>
      </c>
      <c r="K17" s="3" t="n">
        <v>-986272.96</v>
      </c>
      <c r="L17" s="3" t="n">
        <v>-988965.71</v>
      </c>
      <c r="M17" s="3" t="n">
        <v>-991483.36</v>
      </c>
      <c r="N17" s="3" t="n">
        <v>-994211.33</v>
      </c>
      <c r="O17" s="3" t="n">
        <v>-997147.4</v>
      </c>
      <c r="P17" s="3" t="n">
        <v>-1000023.42</v>
      </c>
      <c r="Q17" s="3" t="n">
        <v>-1002391</v>
      </c>
      <c r="R17" s="3" t="n">
        <v>-1004860.96</v>
      </c>
      <c r="S17" s="3" t="n">
        <v>-1007464.68</v>
      </c>
      <c r="T17" s="3" t="n">
        <v>-1010019.26</v>
      </c>
      <c r="U17" s="3" t="n">
        <v>-1012736</v>
      </c>
      <c r="V17" s="3" t="n">
        <v>-1015660.95</v>
      </c>
      <c r="W17" s="3" t="n">
        <v>-1018780.16</v>
      </c>
      <c r="X17" s="4" t="n">
        <f aca="false">SUM(B17:E17)</f>
        <v>-4507363.78</v>
      </c>
      <c r="Y17" s="4" t="n">
        <f aca="false">SUM(F17:Q17)</f>
        <v>-11544703.14</v>
      </c>
      <c r="Z17" s="4" t="n">
        <f aca="false">SUM(R17:W17)</f>
        <v>-6069522.01</v>
      </c>
    </row>
    <row r="18" customFormat="false" ht="15" hidden="false" customHeight="false" outlineLevel="0" collapsed="false">
      <c r="A18" s="0" t="s">
        <v>39</v>
      </c>
      <c r="B18" s="3" t="n">
        <v>-574055.4</v>
      </c>
      <c r="C18" s="3" t="n">
        <v>-570037.02</v>
      </c>
      <c r="D18" s="3" t="n">
        <v>-566046.76</v>
      </c>
      <c r="E18" s="3" t="n">
        <v>-562084.43</v>
      </c>
      <c r="F18" s="3" t="n">
        <v>-558149.84</v>
      </c>
      <c r="G18" s="3" t="n">
        <v>-554242.79</v>
      </c>
      <c r="H18" s="3" t="n">
        <v>-550363.09</v>
      </c>
      <c r="I18" s="3" t="n">
        <v>-546510.55</v>
      </c>
      <c r="J18" s="3" t="n">
        <v>-542684.97</v>
      </c>
      <c r="K18" s="3" t="n">
        <v>-538886.18</v>
      </c>
      <c r="L18" s="3" t="n">
        <v>-535113.98</v>
      </c>
      <c r="M18" s="3" t="n">
        <v>-531368.18</v>
      </c>
      <c r="N18" s="3" t="n">
        <v>-527648.6</v>
      </c>
      <c r="O18" s="3" t="n">
        <v>-523955.06</v>
      </c>
      <c r="P18" s="3" t="n">
        <v>-520287.38</v>
      </c>
      <c r="Q18" s="3" t="n">
        <v>-574784.25</v>
      </c>
      <c r="R18" s="3" t="n">
        <v>-583728.7</v>
      </c>
      <c r="S18" s="3" t="n">
        <v>-583728.7</v>
      </c>
      <c r="T18" s="3" t="n">
        <v>-583728.7</v>
      </c>
      <c r="U18" s="3" t="n">
        <v>-425000</v>
      </c>
      <c r="V18" s="3" t="n">
        <v>-424575</v>
      </c>
      <c r="W18" s="3" t="n">
        <v>-424150.43</v>
      </c>
      <c r="X18" s="4" t="n">
        <f aca="false">SUM(B18:E18)</f>
        <v>-2272223.61</v>
      </c>
      <c r="Y18" s="4" t="n">
        <f aca="false">SUM(F18:Q18)</f>
        <v>-6503994.87</v>
      </c>
      <c r="Z18" s="4" t="n">
        <f aca="false">SUM(R18:W18)</f>
        <v>-3024911.53</v>
      </c>
    </row>
    <row r="19" customFormat="false" ht="15" hidden="false" customHeight="false" outlineLevel="0" collapsed="false">
      <c r="A19" s="0" t="s">
        <v>40</v>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-20000</v>
      </c>
      <c r="V19" s="3" t="n">
        <v>-20000</v>
      </c>
      <c r="W19" s="3" t="n">
        <v>-20000</v>
      </c>
      <c r="X19" s="4" t="n">
        <f aca="false">SUM(B19:E19)</f>
        <v>0</v>
      </c>
      <c r="Y19" s="4" t="n">
        <f aca="false">SUM(F19:Q19)</f>
        <v>0</v>
      </c>
      <c r="Z19" s="4" t="n">
        <f aca="false">SUM(R19:W19)</f>
        <v>-60000</v>
      </c>
    </row>
    <row r="20" customFormat="false" ht="15" hidden="false" customHeight="false" outlineLevel="0" collapsed="false">
      <c r="A20" s="0" t="s">
        <v>41</v>
      </c>
      <c r="B20" s="3" t="n">
        <v>0</v>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c r="S20" s="3" t="n">
        <v>0</v>
      </c>
      <c r="T20" s="3" t="n">
        <v>-1800000</v>
      </c>
      <c r="U20" s="3" t="n">
        <v>0</v>
      </c>
      <c r="V20" s="3" t="n">
        <v>0</v>
      </c>
      <c r="W20" s="3" t="n">
        <v>0</v>
      </c>
      <c r="X20" s="4" t="n">
        <f aca="false">SUM(B20:E20)</f>
        <v>0</v>
      </c>
      <c r="Y20" s="4" t="n">
        <f aca="false">SUM(F20:Q20)</f>
        <v>0</v>
      </c>
      <c r="Z20" s="4" t="n">
        <f aca="false">SUM(R20:W20)</f>
        <v>-1800000</v>
      </c>
    </row>
    <row r="21" customFormat="false" ht="15" hidden="false" customHeight="false" outlineLevel="0" collapsed="false">
      <c r="A21" s="0" t="s">
        <v>42</v>
      </c>
      <c r="B21" s="3" t="n">
        <v>-384896.81</v>
      </c>
      <c r="C21" s="3" t="n">
        <v>-460087.9</v>
      </c>
      <c r="D21" s="3" t="n">
        <v>-509965.19</v>
      </c>
      <c r="E21" s="3" t="n">
        <v>-207342.05</v>
      </c>
      <c r="F21" s="3" t="n">
        <v>-254221.65</v>
      </c>
      <c r="G21" s="3" t="n">
        <v>-281197.91</v>
      </c>
      <c r="H21" s="3" t="n">
        <v>-342638.85</v>
      </c>
      <c r="I21" s="3" t="n">
        <v>-382027.91</v>
      </c>
      <c r="J21" s="3" t="n">
        <v>-421001.38</v>
      </c>
      <c r="K21" s="3" t="n">
        <v>-451002.06</v>
      </c>
      <c r="L21" s="3" t="n">
        <v>360437.17</v>
      </c>
      <c r="M21" s="3" t="n">
        <v>440376.68</v>
      </c>
      <c r="N21" s="3" t="n">
        <v>391746.91</v>
      </c>
      <c r="O21" s="3" t="n">
        <v>304071.5</v>
      </c>
      <c r="P21" s="3" t="n">
        <v>235314.24</v>
      </c>
      <c r="Q21" s="3" t="n">
        <v>400143.26</v>
      </c>
      <c r="R21" s="3" t="n">
        <v>0</v>
      </c>
      <c r="S21" s="3" t="n">
        <v>0</v>
      </c>
      <c r="T21" s="3" t="n">
        <v>0</v>
      </c>
      <c r="U21" s="3" t="n">
        <v>0</v>
      </c>
      <c r="V21" s="3" t="n">
        <v>0</v>
      </c>
      <c r="W21" s="3" t="n">
        <v>0</v>
      </c>
      <c r="X21" s="4" t="n">
        <f aca="false">SUM(B21:E21)</f>
        <v>-1562291.95</v>
      </c>
      <c r="Y21" s="4" t="n">
        <f aca="false">SUM(F21:Q21)</f>
        <v>2.91038304567337E-011</v>
      </c>
      <c r="Z21" s="4" t="n">
        <f aca="false">SUM(R21:W21)</f>
        <v>0</v>
      </c>
    </row>
    <row r="22" customFormat="false" ht="15" hidden="false" customHeight="false" outlineLevel="0" collapsed="false">
      <c r="A22" s="0" t="s">
        <v>43</v>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-140000</v>
      </c>
      <c r="R22" s="3" t="n">
        <v>0</v>
      </c>
      <c r="S22" s="3" t="n">
        <v>0</v>
      </c>
      <c r="T22" s="3" t="n">
        <v>0</v>
      </c>
      <c r="U22" s="3" t="n">
        <v>0</v>
      </c>
      <c r="V22" s="3" t="n">
        <v>0</v>
      </c>
      <c r="W22" s="3" t="n">
        <v>0</v>
      </c>
      <c r="X22" s="4" t="n">
        <f aca="false">SUM(B22:E22)</f>
        <v>0</v>
      </c>
      <c r="Y22" s="4" t="n">
        <f aca="false">SUM(F22:Q22)</f>
        <v>-140000</v>
      </c>
      <c r="Z22" s="4" t="n">
        <f aca="false">SUM(R22:W22)</f>
        <v>0</v>
      </c>
    </row>
    <row r="23" customFormat="false" ht="15" hidden="false" customHeight="false" outlineLevel="0" collapsed="false">
      <c r="A23" s="0" t="s">
        <v>44</v>
      </c>
      <c r="B23" s="3" t="n">
        <v>0</v>
      </c>
      <c r="C23" s="3" t="n">
        <v>0</v>
      </c>
      <c r="D23" s="3" t="n">
        <v>0</v>
      </c>
      <c r="E23" s="3" t="n">
        <v>0</v>
      </c>
      <c r="F23" s="3" t="n">
        <v>0</v>
      </c>
      <c r="G23" s="3" t="n">
        <v>0</v>
      </c>
      <c r="H23" s="3" t="n">
        <v>0</v>
      </c>
      <c r="I23" s="3" t="n">
        <v>0</v>
      </c>
      <c r="J23" s="3" t="n">
        <v>0</v>
      </c>
      <c r="K23" s="3" t="n">
        <v>0</v>
      </c>
      <c r="L23" s="3" t="n">
        <v>0</v>
      </c>
      <c r="M23" s="3" t="n">
        <v>0</v>
      </c>
      <c r="N23" s="3" t="n">
        <v>0</v>
      </c>
      <c r="O23" s="3" t="n">
        <v>0</v>
      </c>
      <c r="P23" s="3" t="n">
        <v>0</v>
      </c>
      <c r="Q23" s="3" t="n">
        <v>-1910453.23</v>
      </c>
      <c r="R23" s="3" t="n">
        <v>0</v>
      </c>
      <c r="S23" s="3" t="n">
        <v>0</v>
      </c>
      <c r="T23" s="3" t="n">
        <v>0</v>
      </c>
      <c r="U23" s="3" t="n">
        <v>0</v>
      </c>
      <c r="V23" s="3" t="n">
        <v>0</v>
      </c>
      <c r="W23" s="3" t="n">
        <v>0</v>
      </c>
      <c r="X23" s="4" t="n">
        <f aca="false">SUM(B23:E23)</f>
        <v>0</v>
      </c>
      <c r="Y23" s="4" t="n">
        <f aca="false">SUM(F23:Q23)</f>
        <v>-1910453.23</v>
      </c>
      <c r="Z23" s="4" t="n">
        <f aca="false">SUM(R23:W23)</f>
        <v>0</v>
      </c>
    </row>
    <row r="24" customFormat="false" ht="15" hidden="false" customHeight="false" outlineLevel="0" collapsed="false">
      <c r="A24" s="0" t="s">
        <v>45</v>
      </c>
      <c r="B24" s="4" t="n">
        <f aca="false">B16+B17+B18+B19+B20+B21+B22+B23</f>
        <v>1134639.62</v>
      </c>
      <c r="C24" s="4" t="n">
        <f aca="false">C16+C17+C18+C19+C20+C21+C22+C23</f>
        <v>1472458.18</v>
      </c>
      <c r="D24" s="4" t="n">
        <f aca="false">D16+D17+D18+D19+D20+D21+D22+D23</f>
        <v>1697871.67</v>
      </c>
      <c r="E24" s="4" t="n">
        <f aca="false">E16+E17+E18+E19+E20+E21+E22+E23</f>
        <v>358381.33</v>
      </c>
      <c r="F24" s="4" t="n">
        <f aca="false">F16+F17+F18+F19+F20+F21+F22+F23</f>
        <v>950185.61</v>
      </c>
      <c r="G24" s="4" t="n">
        <f aca="false">G16+G17+G18+G19+G20+G21+G22+G23</f>
        <v>1083964.46</v>
      </c>
      <c r="H24" s="4" t="n">
        <f aca="false">H16+H17+H18+H19+H20+H21+H22+H23</f>
        <v>1371375.89</v>
      </c>
      <c r="I24" s="4" t="n">
        <f aca="false">I16+I17+I18+I19+I20+I21+I22+I23</f>
        <v>1560261.83</v>
      </c>
      <c r="J24" s="4" t="n">
        <f aca="false">J16+J17+J18+J19+J20+J21+J22+J23</f>
        <v>1747980.98</v>
      </c>
      <c r="K24" s="4" t="n">
        <f aca="false">K16+K17+K18+K19+K20+K21+K22+K23</f>
        <v>1896185.81</v>
      </c>
      <c r="L24" s="4" t="n">
        <f aca="false">L16+L17+L18+L19+L20+L21+L22+L23</f>
        <v>-1552779.22</v>
      </c>
      <c r="M24" s="4" t="n">
        <f aca="false">M16+M17+M18+M19+M20+M21+M22+M23</f>
        <v>-1774736.19</v>
      </c>
      <c r="N24" s="4" t="n">
        <f aca="false">N16+N17+N18+N19+N20+N21+N22+N23</f>
        <v>-1633714.33</v>
      </c>
      <c r="O24" s="4" t="n">
        <f aca="false">O16+O17+O18+O19+O20+O21+O22+O23</f>
        <v>-1382476.35</v>
      </c>
      <c r="P24" s="4" t="n">
        <f aca="false">P16+P17+P18+P19+P20+P21+P22+P23</f>
        <v>-1141684.46</v>
      </c>
      <c r="Q24" s="4" t="n">
        <f aca="false">Q16+Q17+Q18+Q19+Q20+Q21+Q22+Q23</f>
        <v>-4476304.53</v>
      </c>
      <c r="R24" s="4" t="n">
        <f aca="false">R16+R17+R18+R19+R20+R21+R22+R23</f>
        <v>-2192161.54</v>
      </c>
      <c r="S24" s="4" t="n">
        <f aca="false">S16+S17+S18+S19+S20+S21+S22+S23</f>
        <v>-2072275.66</v>
      </c>
      <c r="T24" s="4" t="n">
        <f aca="false">T16+T17+T18+T19+T20+T21+T22+T23</f>
        <v>-3578483.21</v>
      </c>
      <c r="U24" s="4" t="n">
        <f aca="false">U16+U17+U18+U19+U20+U21+U22+U23</f>
        <v>-361830.68</v>
      </c>
      <c r="V24" s="4" t="n">
        <f aca="false">V16+V17+V18+V19+V20+V21+V22+V23</f>
        <v>-205361.620000001</v>
      </c>
      <c r="W24" s="4" t="n">
        <f aca="false">W16+W17+W18+W19+W20+W21+W22+W23</f>
        <v>84810.6900000005</v>
      </c>
      <c r="X24" s="4" t="n">
        <f aca="false">SUM(B24:E24)</f>
        <v>4663350.8</v>
      </c>
      <c r="Y24" s="4" t="n">
        <f aca="false">SUM(F24:Q24)</f>
        <v>-3351740.5</v>
      </c>
      <c r="Z24" s="4" t="n">
        <f aca="false">SUM(R24:W24)</f>
        <v>-8325302.02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0" t="s">
        <v>46</v>
      </c>
    </row>
    <row r="2" customFormat="false" ht="15" hidden="false" customHeight="false" outlineLevel="0" collapsed="false">
      <c r="A2" s="0" t="s">
        <v>47</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48</v>
      </c>
      <c r="Y6" s="2" t="s">
        <v>49</v>
      </c>
      <c r="Z6" s="2" t="s">
        <v>50</v>
      </c>
    </row>
    <row r="7" customFormat="false" ht="15" hidden="false" customHeight="false" outlineLevel="0" collapsed="false">
      <c r="A7" s="0" t="s">
        <v>51</v>
      </c>
      <c r="B7" s="3" t="n">
        <v>8238520.82</v>
      </c>
      <c r="C7" s="3" t="n">
        <v>8364065.55</v>
      </c>
      <c r="D7" s="3" t="n">
        <v>8968774.06</v>
      </c>
      <c r="E7" s="3" t="n">
        <v>10192084.18</v>
      </c>
      <c r="F7" s="3" t="n">
        <v>9490470.67</v>
      </c>
      <c r="G7" s="3" t="n">
        <v>9342106.58</v>
      </c>
      <c r="H7" s="3" t="n">
        <v>8319679.08</v>
      </c>
      <c r="I7" s="3" t="n">
        <v>8584491.81</v>
      </c>
      <c r="J7" s="3" t="n">
        <v>9061715.65</v>
      </c>
      <c r="K7" s="3" t="n">
        <v>8533476.07</v>
      </c>
      <c r="L7" s="3" t="n">
        <v>10150227.35</v>
      </c>
      <c r="M7" s="3" t="n">
        <v>8935807.77</v>
      </c>
      <c r="N7" s="3" t="n">
        <v>6951216.92</v>
      </c>
      <c r="O7" s="3" t="n">
        <v>5008900.01</v>
      </c>
      <c r="P7" s="3" t="n">
        <v>3431896.38</v>
      </c>
      <c r="Q7" s="3" t="n">
        <v>11012418.04</v>
      </c>
      <c r="R7" s="3" t="n">
        <v>9181041.24</v>
      </c>
      <c r="S7" s="3" t="n">
        <v>7684278.13</v>
      </c>
      <c r="T7" s="3" t="n">
        <v>18136708.95</v>
      </c>
      <c r="U7" s="3" t="n">
        <v>18140282.4</v>
      </c>
      <c r="V7" s="3" t="n">
        <v>18413087.37</v>
      </c>
      <c r="W7" s="3" t="n">
        <v>18817443.79</v>
      </c>
      <c r="X7" s="4" t="n">
        <f aca="false">E7</f>
        <v>10192084.18</v>
      </c>
      <c r="Y7" s="4" t="n">
        <f aca="false">Q7</f>
        <v>11012418.04</v>
      </c>
      <c r="Z7" s="4" t="n">
        <f aca="false">W7</f>
        <v>18817443.79</v>
      </c>
    </row>
    <row r="8" customFormat="false" ht="15" hidden="false" customHeight="false" outlineLevel="0" collapsed="false">
      <c r="A8" s="0" t="s">
        <v>52</v>
      </c>
      <c r="B8" s="3" t="n">
        <v>21782239.98</v>
      </c>
      <c r="C8" s="3" t="n">
        <v>22678679.94</v>
      </c>
      <c r="D8" s="3" t="n">
        <v>23287869.5</v>
      </c>
      <c r="E8" s="3" t="n">
        <v>19916029.28</v>
      </c>
      <c r="F8" s="3" t="n">
        <v>21068709.84</v>
      </c>
      <c r="G8" s="3" t="n">
        <v>21439500.32</v>
      </c>
      <c r="H8" s="3" t="n">
        <v>22199860.08</v>
      </c>
      <c r="I8" s="3" t="n">
        <v>22710351.98</v>
      </c>
      <c r="J8" s="3" t="n">
        <v>23220659.71</v>
      </c>
      <c r="K8" s="3" t="n">
        <v>23633333.54</v>
      </c>
      <c r="L8" s="3" t="n">
        <v>21135145.97</v>
      </c>
      <c r="M8" s="3" t="n">
        <v>20413380.4</v>
      </c>
      <c r="N8" s="3" t="n">
        <v>20862648.33</v>
      </c>
      <c r="O8" s="3" t="n">
        <v>21669381.08</v>
      </c>
      <c r="P8" s="3" t="n">
        <v>22405506.66</v>
      </c>
      <c r="Q8" s="3" t="n">
        <v>19086623.22</v>
      </c>
      <c r="R8" s="3" t="n">
        <v>18739909.06</v>
      </c>
      <c r="S8" s="3" t="n">
        <v>19031160.95</v>
      </c>
      <c r="T8" s="3" t="n">
        <v>19735947.93</v>
      </c>
      <c r="U8" s="3" t="n">
        <v>20087027.74</v>
      </c>
      <c r="V8" s="3" t="n">
        <v>20436575.37</v>
      </c>
      <c r="W8" s="3" t="n">
        <v>20896429.14</v>
      </c>
      <c r="X8" s="4" t="n">
        <f aca="false">E8</f>
        <v>19916029.28</v>
      </c>
      <c r="Y8" s="4" t="n">
        <f aca="false">Q8</f>
        <v>19086623.22</v>
      </c>
      <c r="Z8" s="4" t="n">
        <f aca="false">W8</f>
        <v>20896429.14</v>
      </c>
    </row>
    <row r="9" customFormat="false" ht="15" hidden="false" customHeight="false" outlineLevel="0" collapsed="false">
      <c r="A9" s="0" t="s">
        <v>53</v>
      </c>
      <c r="B9" s="3" t="n">
        <v>3000000</v>
      </c>
      <c r="C9" s="3" t="n">
        <v>3000000</v>
      </c>
      <c r="D9" s="3" t="n">
        <v>3000000</v>
      </c>
      <c r="E9" s="3" t="n">
        <v>3000000</v>
      </c>
      <c r="F9" s="3" t="n">
        <v>3000000</v>
      </c>
      <c r="G9" s="3" t="n">
        <v>3000000</v>
      </c>
      <c r="H9" s="3" t="n">
        <v>3000000</v>
      </c>
      <c r="I9" s="3" t="n">
        <v>3000000</v>
      </c>
      <c r="J9" s="3" t="n">
        <v>3000000</v>
      </c>
      <c r="K9" s="3" t="n">
        <v>3000000</v>
      </c>
      <c r="L9" s="3" t="n">
        <v>3000000</v>
      </c>
      <c r="M9" s="3" t="n">
        <v>3000000</v>
      </c>
      <c r="N9" s="3" t="n">
        <v>3000000</v>
      </c>
      <c r="O9" s="3" t="n">
        <v>3000000</v>
      </c>
      <c r="P9" s="3" t="n">
        <v>3000000</v>
      </c>
      <c r="Q9" s="3" t="n">
        <v>3000000</v>
      </c>
      <c r="R9" s="3" t="n">
        <v>3000000</v>
      </c>
      <c r="S9" s="3" t="n">
        <v>3000000</v>
      </c>
      <c r="T9" s="3" t="n">
        <v>3000000</v>
      </c>
      <c r="U9" s="3" t="n">
        <v>3000000</v>
      </c>
      <c r="V9" s="3" t="n">
        <v>3000000</v>
      </c>
      <c r="W9" s="3" t="n">
        <v>3000000</v>
      </c>
      <c r="X9" s="4" t="n">
        <f aca="false">E9</f>
        <v>3000000</v>
      </c>
      <c r="Y9" s="4" t="n">
        <f aca="false">Q9</f>
        <v>3000000</v>
      </c>
      <c r="Z9" s="4" t="n">
        <f aca="false">W9</f>
        <v>3000000</v>
      </c>
    </row>
    <row r="10" customFormat="false" ht="15" hidden="false" customHeight="false" outlineLevel="0" collapsed="false">
      <c r="A10" s="0" t="s">
        <v>54</v>
      </c>
      <c r="B10" s="3" t="n">
        <v>0</v>
      </c>
      <c r="C10" s="3" t="n">
        <v>0</v>
      </c>
      <c r="D10" s="3" t="n">
        <v>0</v>
      </c>
      <c r="E10" s="3" t="n">
        <v>0</v>
      </c>
      <c r="F10" s="3" t="n">
        <v>0</v>
      </c>
      <c r="G10" s="3" t="n">
        <v>0</v>
      </c>
      <c r="H10" s="3" t="n">
        <v>0</v>
      </c>
      <c r="I10" s="3" t="n">
        <v>0</v>
      </c>
      <c r="J10" s="3" t="n">
        <v>0</v>
      </c>
      <c r="K10" s="3" t="n">
        <v>0</v>
      </c>
      <c r="L10" s="3" t="n">
        <v>360437.17</v>
      </c>
      <c r="M10" s="3" t="n">
        <v>800813.85</v>
      </c>
      <c r="N10" s="3" t="n">
        <v>1192560.76</v>
      </c>
      <c r="O10" s="3" t="n">
        <v>1496632.26</v>
      </c>
      <c r="P10" s="3" t="n">
        <v>1731946.5</v>
      </c>
      <c r="Q10" s="3" t="n">
        <v>2132089.76</v>
      </c>
      <c r="R10" s="3" t="n">
        <v>2132089.76</v>
      </c>
      <c r="S10" s="3" t="n">
        <v>2132089.76</v>
      </c>
      <c r="T10" s="3" t="n">
        <v>2132089.76</v>
      </c>
      <c r="U10" s="3" t="n">
        <v>2132089.76</v>
      </c>
      <c r="V10" s="3" t="n">
        <v>2132089.76</v>
      </c>
      <c r="W10" s="3" t="n">
        <v>2132089.76</v>
      </c>
      <c r="X10" s="4" t="n">
        <f aca="false">E10</f>
        <v>0</v>
      </c>
      <c r="Y10" s="4" t="n">
        <f aca="false">Q10</f>
        <v>2132089.76</v>
      </c>
      <c r="Z10" s="4" t="n">
        <f aca="false">W10</f>
        <v>2132089.76</v>
      </c>
    </row>
    <row r="11" customFormat="false" ht="15" hidden="false" customHeight="false" outlineLevel="0" collapsed="false">
      <c r="A11" s="0" t="s">
        <v>55</v>
      </c>
      <c r="B11" s="3" t="n">
        <v>50820499.95</v>
      </c>
      <c r="C11" s="3" t="n">
        <v>51533513.78</v>
      </c>
      <c r="D11" s="3" t="n">
        <v>52272897.62</v>
      </c>
      <c r="E11" s="3" t="n">
        <v>52721389.24</v>
      </c>
      <c r="F11" s="3" t="n">
        <v>53548443.96</v>
      </c>
      <c r="G11" s="3" t="n">
        <v>54383272.92</v>
      </c>
      <c r="H11" s="3" t="n">
        <v>55257523.94</v>
      </c>
      <c r="I11" s="3" t="n">
        <v>56151268.11</v>
      </c>
      <c r="J11" s="3" t="n">
        <v>57062903.26</v>
      </c>
      <c r="K11" s="3" t="n">
        <v>57983194.17</v>
      </c>
      <c r="L11" s="3" t="n">
        <v>57215335.63</v>
      </c>
      <c r="M11" s="3" t="n">
        <v>56437396.97</v>
      </c>
      <c r="N11" s="3" t="n">
        <v>55661439.86</v>
      </c>
      <c r="O11" s="3" t="n">
        <v>54890982.55</v>
      </c>
      <c r="P11" s="3" t="n">
        <v>54125350.07</v>
      </c>
      <c r="Q11" s="3" t="n">
        <v>53322634.1</v>
      </c>
      <c r="R11" s="3" t="n">
        <v>52513821.63</v>
      </c>
      <c r="S11" s="3" t="n">
        <v>51705452.12</v>
      </c>
      <c r="T11" s="3" t="n">
        <v>50901902.69</v>
      </c>
      <c r="U11" s="3" t="n">
        <v>50116955.39</v>
      </c>
      <c r="V11" s="3" t="n">
        <v>49333050.74</v>
      </c>
      <c r="W11" s="3" t="n">
        <v>48551233.38</v>
      </c>
      <c r="X11" s="4" t="n">
        <f aca="false">E11</f>
        <v>52721389.24</v>
      </c>
      <c r="Y11" s="4" t="n">
        <f aca="false">Q11</f>
        <v>53322634.1</v>
      </c>
      <c r="Z11" s="4" t="n">
        <f aca="false">W11</f>
        <v>48551233.38</v>
      </c>
    </row>
    <row r="12" customFormat="false" ht="15" hidden="false" customHeight="false" outlineLevel="0" collapsed="false">
      <c r="A12" s="0" t="s">
        <v>56</v>
      </c>
      <c r="B12" s="3" t="n">
        <v>37829378.27</v>
      </c>
      <c r="C12" s="3" t="n">
        <v>37474184.64</v>
      </c>
      <c r="D12" s="3" t="n">
        <v>37117354.88</v>
      </c>
      <c r="E12" s="3" t="n">
        <v>36758880.74</v>
      </c>
      <c r="F12" s="3" t="n">
        <v>36398753.85</v>
      </c>
      <c r="G12" s="3" t="n">
        <v>36036906.23</v>
      </c>
      <c r="H12" s="3" t="n">
        <v>35673329.2</v>
      </c>
      <c r="I12" s="3" t="n">
        <v>35308014</v>
      </c>
      <c r="J12" s="3" t="n">
        <v>34940951.84</v>
      </c>
      <c r="K12" s="3" t="n">
        <v>34572133.87</v>
      </c>
      <c r="L12" s="3" t="n">
        <v>34201551.23</v>
      </c>
      <c r="M12" s="3" t="n">
        <v>33829194.99</v>
      </c>
      <c r="N12" s="3" t="n">
        <v>33455056.18</v>
      </c>
      <c r="O12" s="3" t="n">
        <v>33079125.76</v>
      </c>
      <c r="P12" s="3" t="n">
        <v>32701394.7</v>
      </c>
      <c r="Q12" s="3" t="n">
        <v>32321853.89</v>
      </c>
      <c r="R12" s="3" t="n">
        <v>31940494.18</v>
      </c>
      <c r="S12" s="3" t="n">
        <v>31557245.35</v>
      </c>
      <c r="T12" s="3" t="n">
        <v>31172097.84</v>
      </c>
      <c r="U12" s="3" t="n">
        <v>30785042.06</v>
      </c>
      <c r="V12" s="3" t="n">
        <v>30396068.35</v>
      </c>
      <c r="W12" s="3" t="n">
        <v>30005167.01</v>
      </c>
      <c r="X12" s="4" t="n">
        <f aca="false">E12</f>
        <v>36758880.74</v>
      </c>
      <c r="Y12" s="4" t="n">
        <f aca="false">Q12</f>
        <v>32321853.89</v>
      </c>
      <c r="Z12" s="4" t="n">
        <f aca="false">W12</f>
        <v>30005167.01</v>
      </c>
    </row>
    <row r="13" customFormat="false" ht="15" hidden="false" customHeight="false" outlineLevel="0" collapsed="false">
      <c r="A13" s="0" t="s">
        <v>57</v>
      </c>
      <c r="B13" s="3" t="n">
        <v>80000000</v>
      </c>
      <c r="C13" s="3" t="n">
        <v>80000000</v>
      </c>
      <c r="D13" s="3" t="n">
        <v>80000000</v>
      </c>
      <c r="E13" s="3" t="n">
        <v>80000000</v>
      </c>
      <c r="F13" s="3" t="n">
        <v>80000000</v>
      </c>
      <c r="G13" s="3" t="n">
        <v>80000000</v>
      </c>
      <c r="H13" s="3" t="n">
        <v>80000000</v>
      </c>
      <c r="I13" s="3" t="n">
        <v>80000000</v>
      </c>
      <c r="J13" s="3" t="n">
        <v>80000000</v>
      </c>
      <c r="K13" s="3" t="n">
        <v>80000000</v>
      </c>
      <c r="L13" s="3" t="n">
        <v>80000000</v>
      </c>
      <c r="M13" s="3" t="n">
        <v>80000000</v>
      </c>
      <c r="N13" s="3" t="n">
        <v>80000000</v>
      </c>
      <c r="O13" s="3" t="n">
        <v>80000000</v>
      </c>
      <c r="P13" s="3" t="n">
        <v>80000000</v>
      </c>
      <c r="Q13" s="3" t="n">
        <v>78089546.77</v>
      </c>
      <c r="R13" s="3" t="n">
        <v>78089546.77</v>
      </c>
      <c r="S13" s="3" t="n">
        <v>78089546.77</v>
      </c>
      <c r="T13" s="3" t="n">
        <v>78089546.77</v>
      </c>
      <c r="U13" s="3" t="n">
        <v>78089546.77</v>
      </c>
      <c r="V13" s="3" t="n">
        <v>78089546.77</v>
      </c>
      <c r="W13" s="3" t="n">
        <v>78089546.77</v>
      </c>
      <c r="X13" s="4" t="n">
        <f aca="false">E13</f>
        <v>80000000</v>
      </c>
      <c r="Y13" s="4" t="n">
        <f aca="false">Q13</f>
        <v>78089546.77</v>
      </c>
      <c r="Z13" s="4" t="n">
        <f aca="false">W13</f>
        <v>78089546.77</v>
      </c>
    </row>
    <row r="14" customFormat="false" ht="15" hidden="false" customHeight="false" outlineLevel="0" collapsed="false">
      <c r="A14" s="0" t="s">
        <v>58</v>
      </c>
      <c r="B14" s="4" t="n">
        <f aca="false">SUM(B7:B13)</f>
        <v>201670639.02</v>
      </c>
      <c r="C14" s="4" t="n">
        <f aca="false">SUM(C7:C13)</f>
        <v>203050443.91</v>
      </c>
      <c r="D14" s="4" t="n">
        <f aca="false">SUM(D7:D13)</f>
        <v>204646896.06</v>
      </c>
      <c r="E14" s="4" t="n">
        <f aca="false">SUM(E7:E13)</f>
        <v>202588383.44</v>
      </c>
      <c r="F14" s="4" t="n">
        <f aca="false">SUM(F7:F13)</f>
        <v>203506378.32</v>
      </c>
      <c r="G14" s="4" t="n">
        <f aca="false">SUM(G7:G13)</f>
        <v>204201786.05</v>
      </c>
      <c r="H14" s="4" t="n">
        <f aca="false">SUM(H7:H13)</f>
        <v>204450392.3</v>
      </c>
      <c r="I14" s="4" t="n">
        <f aca="false">SUM(I7:I13)</f>
        <v>205754125.9</v>
      </c>
      <c r="J14" s="4" t="n">
        <f aca="false">SUM(J7:J13)</f>
        <v>207286230.46</v>
      </c>
      <c r="K14" s="4" t="n">
        <f aca="false">SUM(K7:K13)</f>
        <v>207722137.65</v>
      </c>
      <c r="L14" s="4" t="n">
        <f aca="false">SUM(L7:L13)</f>
        <v>206062697.35</v>
      </c>
      <c r="M14" s="4" t="n">
        <f aca="false">SUM(M7:M13)</f>
        <v>203416593.98</v>
      </c>
      <c r="N14" s="4" t="n">
        <f aca="false">SUM(N7:N13)</f>
        <v>201122922.05</v>
      </c>
      <c r="O14" s="4" t="n">
        <f aca="false">SUM(O7:O13)</f>
        <v>199145021.66</v>
      </c>
      <c r="P14" s="4" t="n">
        <f aca="false">SUM(P7:P13)</f>
        <v>197396094.31</v>
      </c>
      <c r="Q14" s="4" t="n">
        <f aca="false">SUM(Q7:Q13)</f>
        <v>198965165.78</v>
      </c>
      <c r="R14" s="4" t="n">
        <f aca="false">SUM(R7:R13)</f>
        <v>195596902.64</v>
      </c>
      <c r="S14" s="4" t="n">
        <f aca="false">SUM(S7:S13)</f>
        <v>193199773.08</v>
      </c>
      <c r="T14" s="4" t="n">
        <f aca="false">SUM(T7:T13)</f>
        <v>203168293.94</v>
      </c>
      <c r="U14" s="4" t="n">
        <f aca="false">SUM(U7:U13)</f>
        <v>202350944.12</v>
      </c>
      <c r="V14" s="4" t="n">
        <f aca="false">SUM(V7:V13)</f>
        <v>201800418.36</v>
      </c>
      <c r="W14" s="4" t="n">
        <f aca="false">SUM(W7:W13)</f>
        <v>201491909.85</v>
      </c>
      <c r="X14" s="4" t="n">
        <f aca="false">E14</f>
        <v>202588383.44</v>
      </c>
      <c r="Y14" s="4" t="n">
        <f aca="false">Q14</f>
        <v>198965165.78</v>
      </c>
      <c r="Z14" s="4" t="n">
        <f aca="false">W14</f>
        <v>201491909.85</v>
      </c>
    </row>
    <row r="16" customFormat="false" ht="15" hidden="false" customHeight="false" outlineLevel="0" collapsed="false">
      <c r="A16" s="0" t="s">
        <v>59</v>
      </c>
      <c r="B16" s="3" t="n">
        <v>5131727.1</v>
      </c>
      <c r="C16" s="3" t="n">
        <v>5320011.78</v>
      </c>
      <c r="D16" s="3" t="n">
        <v>5448374.45</v>
      </c>
      <c r="E16" s="3" t="n">
        <v>4740031.13</v>
      </c>
      <c r="F16" s="3" t="n">
        <v>5202692.51</v>
      </c>
      <c r="G16" s="3" t="n">
        <v>5280878.51</v>
      </c>
      <c r="H16" s="3" t="n">
        <v>5440364.61</v>
      </c>
      <c r="I16" s="3" t="n">
        <v>5547568.79</v>
      </c>
      <c r="J16" s="3" t="n">
        <v>5655403.94</v>
      </c>
      <c r="K16" s="3" t="n">
        <v>5741848.6</v>
      </c>
      <c r="L16" s="3" t="n">
        <v>6377890.83</v>
      </c>
      <c r="M16" s="3" t="n">
        <v>6248264.5</v>
      </c>
      <c r="N16" s="3" t="n">
        <v>6329113.41</v>
      </c>
      <c r="O16" s="3" t="n">
        <v>6473589.6</v>
      </c>
      <c r="P16" s="3" t="n">
        <v>6605368.58</v>
      </c>
      <c r="Q16" s="3" t="n">
        <v>6011540.2</v>
      </c>
      <c r="R16" s="3" t="n">
        <v>5210120.05</v>
      </c>
      <c r="S16" s="3" t="n">
        <v>5261836.72</v>
      </c>
      <c r="T16" s="3" t="n">
        <v>5387310.04</v>
      </c>
      <c r="U16" s="3" t="n">
        <v>5343168.42</v>
      </c>
      <c r="V16" s="3" t="n">
        <v>5411248.73</v>
      </c>
      <c r="W16" s="3" t="n">
        <v>5433050.66</v>
      </c>
      <c r="X16" s="4" t="n">
        <f aca="false">E16</f>
        <v>4740031.13</v>
      </c>
      <c r="Y16" s="4" t="n">
        <f aca="false">Q16</f>
        <v>6011540.2</v>
      </c>
      <c r="Z16" s="4" t="n">
        <f aca="false">W16</f>
        <v>5433050.66</v>
      </c>
    </row>
    <row r="17" customFormat="false" ht="15" hidden="false" customHeight="false" outlineLevel="0" collapsed="false">
      <c r="A17" s="0" t="s">
        <v>60</v>
      </c>
      <c r="B17" s="3" t="n">
        <v>0</v>
      </c>
      <c r="C17" s="3" t="n">
        <v>460087.9</v>
      </c>
      <c r="D17" s="3" t="n">
        <v>970053.09</v>
      </c>
      <c r="E17" s="3" t="n">
        <v>0</v>
      </c>
      <c r="F17" s="3" t="n">
        <v>254221.65</v>
      </c>
      <c r="G17" s="3" t="n">
        <v>535419.56</v>
      </c>
      <c r="H17" s="3" t="n">
        <v>0</v>
      </c>
      <c r="I17" s="3" t="n">
        <v>382027.91</v>
      </c>
      <c r="J17" s="3" t="n">
        <v>803029.29</v>
      </c>
      <c r="K17" s="3" t="n">
        <v>0</v>
      </c>
      <c r="L17" s="3" t="n">
        <v>0</v>
      </c>
      <c r="M17" s="3" t="n">
        <v>0</v>
      </c>
      <c r="N17" s="3" t="n">
        <v>0</v>
      </c>
      <c r="O17" s="3" t="n">
        <v>0</v>
      </c>
      <c r="P17" s="3" t="n">
        <v>0</v>
      </c>
      <c r="Q17" s="3" t="n">
        <v>0</v>
      </c>
      <c r="R17" s="3" t="n">
        <v>0</v>
      </c>
      <c r="S17" s="3" t="n">
        <v>0</v>
      </c>
      <c r="T17" s="3" t="n">
        <v>0</v>
      </c>
      <c r="U17" s="3" t="n">
        <v>0</v>
      </c>
      <c r="V17" s="3" t="n">
        <v>0</v>
      </c>
      <c r="W17" s="3" t="n">
        <v>0</v>
      </c>
      <c r="X17" s="4" t="n">
        <f aca="false">E17</f>
        <v>0</v>
      </c>
      <c r="Y17" s="4" t="n">
        <f aca="false">Q17</f>
        <v>0</v>
      </c>
      <c r="Z17" s="4" t="n">
        <f aca="false">W17</f>
        <v>0</v>
      </c>
    </row>
    <row r="18" customFormat="false" ht="15" hidden="false" customHeight="false" outlineLevel="0" collapsed="false">
      <c r="A18" s="0" t="s">
        <v>61</v>
      </c>
      <c r="B18" s="3" t="n">
        <v>39249420.89</v>
      </c>
      <c r="C18" s="3" t="n">
        <v>38924769.88</v>
      </c>
      <c r="D18" s="3" t="n">
        <v>38598482.74</v>
      </c>
      <c r="E18" s="3" t="n">
        <v>38270551.22</v>
      </c>
      <c r="F18" s="3" t="n">
        <v>37929169.52</v>
      </c>
      <c r="G18" s="3" t="n">
        <v>37586067.09</v>
      </c>
      <c r="H18" s="3" t="n">
        <v>37241235.25</v>
      </c>
      <c r="I18" s="3" t="n">
        <v>36894665.24</v>
      </c>
      <c r="J18" s="3" t="n">
        <v>36546348.27</v>
      </c>
      <c r="K18" s="3" t="n">
        <v>36196275.49</v>
      </c>
      <c r="L18" s="3" t="n">
        <v>35844438.04</v>
      </c>
      <c r="M18" s="3" t="n">
        <v>35490826.99</v>
      </c>
      <c r="N18" s="3" t="n">
        <v>35135433.37</v>
      </c>
      <c r="O18" s="3" t="n">
        <v>34778248.14</v>
      </c>
      <c r="P18" s="3" t="n">
        <v>34419262.27</v>
      </c>
      <c r="Q18" s="3" t="n">
        <v>34058466.65</v>
      </c>
      <c r="R18" s="3" t="n">
        <v>33683785.2</v>
      </c>
      <c r="S18" s="3" t="n">
        <v>33307214.63</v>
      </c>
      <c r="T18" s="3" t="n">
        <v>32928745.38</v>
      </c>
      <c r="U18" s="3" t="n">
        <v>32548367.86</v>
      </c>
      <c r="V18" s="3" t="n">
        <v>32166072.41</v>
      </c>
      <c r="W18" s="3" t="n">
        <v>31781849.33</v>
      </c>
      <c r="X18" s="4" t="n">
        <f aca="false">E18</f>
        <v>38270551.22</v>
      </c>
      <c r="Y18" s="4" t="n">
        <f aca="false">Q18</f>
        <v>34058466.65</v>
      </c>
      <c r="Z18" s="4" t="n">
        <f aca="false">W18</f>
        <v>31781849.33</v>
      </c>
    </row>
    <row r="19" customFormat="false" ht="15" hidden="false" customHeight="false" outlineLevel="0" collapsed="false">
      <c r="A19" s="0" t="s">
        <v>62</v>
      </c>
      <c r="B19" s="3" t="n">
        <v>59482123.4</v>
      </c>
      <c r="C19" s="3" t="n">
        <v>59065748.54</v>
      </c>
      <c r="D19" s="3" t="n">
        <v>58652288.3</v>
      </c>
      <c r="E19" s="3" t="n">
        <v>58241722.28</v>
      </c>
      <c r="F19" s="3" t="n">
        <v>57834030.22</v>
      </c>
      <c r="G19" s="3" t="n">
        <v>57429192.01</v>
      </c>
      <c r="H19" s="3" t="n">
        <v>57027187.67</v>
      </c>
      <c r="I19" s="3" t="n">
        <v>56627997.36</v>
      </c>
      <c r="J19" s="3" t="n">
        <v>56231601.38</v>
      </c>
      <c r="K19" s="3" t="n">
        <v>55837980.17</v>
      </c>
      <c r="L19" s="3" t="n">
        <v>55447114.31</v>
      </c>
      <c r="M19" s="3" t="n">
        <v>55058984.51</v>
      </c>
      <c r="N19" s="3" t="n">
        <v>54673571.62</v>
      </c>
      <c r="O19" s="3" t="n">
        <v>54290856.62</v>
      </c>
      <c r="P19" s="3" t="n">
        <v>53910820.62</v>
      </c>
      <c r="Q19" s="3" t="n">
        <v>60910820.62</v>
      </c>
      <c r="R19" s="3" t="n">
        <v>60910820.62</v>
      </c>
      <c r="S19" s="3" t="n">
        <v>60910820.62</v>
      </c>
      <c r="T19" s="3" t="n">
        <v>49800000</v>
      </c>
      <c r="U19" s="3" t="n">
        <v>49769000</v>
      </c>
      <c r="V19" s="3" t="n">
        <v>49738051</v>
      </c>
      <c r="W19" s="3" t="n">
        <v>49707152.95</v>
      </c>
      <c r="X19" s="4" t="n">
        <f aca="false">E19</f>
        <v>58241722.28</v>
      </c>
      <c r="Y19" s="4" t="n">
        <f aca="false">Q19</f>
        <v>60910820.62</v>
      </c>
      <c r="Z19" s="4" t="n">
        <f aca="false">W19</f>
        <v>49707152.95</v>
      </c>
    </row>
    <row r="20" customFormat="false" ht="15" hidden="false" customHeight="false" outlineLevel="0" collapsed="false">
      <c r="A20" s="0" t="s">
        <v>63</v>
      </c>
      <c r="B20" s="3" t="n">
        <v>5000000</v>
      </c>
      <c r="C20" s="3" t="n">
        <v>5000000</v>
      </c>
      <c r="D20" s="3" t="n">
        <v>5000000</v>
      </c>
      <c r="E20" s="3" t="n">
        <v>5000000</v>
      </c>
      <c r="F20" s="3" t="n">
        <v>5000000</v>
      </c>
      <c r="G20" s="3" t="n">
        <v>5000000</v>
      </c>
      <c r="H20" s="3" t="n">
        <v>5000000</v>
      </c>
      <c r="I20" s="3" t="n">
        <v>5000000</v>
      </c>
      <c r="J20" s="3" t="n">
        <v>5000000</v>
      </c>
      <c r="K20" s="3" t="n">
        <v>5000000</v>
      </c>
      <c r="L20" s="3" t="n">
        <v>5000000</v>
      </c>
      <c r="M20" s="3" t="n">
        <v>5000000</v>
      </c>
      <c r="N20" s="3" t="n">
        <v>5000000</v>
      </c>
      <c r="O20" s="3" t="n">
        <v>5000000</v>
      </c>
      <c r="P20" s="3" t="n">
        <v>5000000</v>
      </c>
      <c r="Q20" s="3" t="n">
        <v>5000000</v>
      </c>
      <c r="R20" s="3" t="n">
        <v>5000000</v>
      </c>
      <c r="S20" s="3" t="n">
        <v>5000000</v>
      </c>
      <c r="T20" s="3" t="n">
        <v>5000000</v>
      </c>
      <c r="U20" s="3" t="n">
        <v>5000000</v>
      </c>
      <c r="V20" s="3" t="n">
        <v>5000000</v>
      </c>
      <c r="W20" s="3" t="n">
        <v>5000000</v>
      </c>
      <c r="X20" s="4" t="n">
        <f aca="false">E20</f>
        <v>5000000</v>
      </c>
      <c r="Y20" s="4" t="n">
        <f aca="false">Q20</f>
        <v>5000000</v>
      </c>
      <c r="Z20" s="4" t="n">
        <f aca="false">W20</f>
        <v>5000000</v>
      </c>
    </row>
    <row r="21" customFormat="false" ht="15" hidden="false" customHeight="false" outlineLevel="0" collapsed="false">
      <c r="A21" s="0" t="s">
        <v>64</v>
      </c>
      <c r="B21" s="4" t="n">
        <f aca="false">SUM(B16:B20)</f>
        <v>108863271.39</v>
      </c>
      <c r="C21" s="4" t="n">
        <f aca="false">SUM(C16:C20)</f>
        <v>108770618.1</v>
      </c>
      <c r="D21" s="4" t="n">
        <f aca="false">SUM(D16:D20)</f>
        <v>108669198.58</v>
      </c>
      <c r="E21" s="4" t="n">
        <f aca="false">SUM(E16:E20)</f>
        <v>106252304.63</v>
      </c>
      <c r="F21" s="4" t="n">
        <f aca="false">SUM(F16:F20)</f>
        <v>106220113.9</v>
      </c>
      <c r="G21" s="4" t="n">
        <f aca="false">SUM(G16:G20)</f>
        <v>105831557.17</v>
      </c>
      <c r="H21" s="4" t="n">
        <f aca="false">SUM(H16:H20)</f>
        <v>104708787.53</v>
      </c>
      <c r="I21" s="4" t="n">
        <f aca="false">SUM(I16:I20)</f>
        <v>104452259.3</v>
      </c>
      <c r="J21" s="4" t="n">
        <f aca="false">SUM(J16:J20)</f>
        <v>104236382.88</v>
      </c>
      <c r="K21" s="4" t="n">
        <f aca="false">SUM(K16:K20)</f>
        <v>102776104.26</v>
      </c>
      <c r="L21" s="4" t="n">
        <f aca="false">SUM(L16:L20)</f>
        <v>102669443.18</v>
      </c>
      <c r="M21" s="4" t="n">
        <f aca="false">SUM(M16:M20)</f>
        <v>101798076</v>
      </c>
      <c r="N21" s="4" t="n">
        <f aca="false">SUM(N16:N20)</f>
        <v>101138118.4</v>
      </c>
      <c r="O21" s="4" t="n">
        <f aca="false">SUM(O16:O20)</f>
        <v>100542694.36</v>
      </c>
      <c r="P21" s="4" t="n">
        <f aca="false">SUM(P16:P20)</f>
        <v>99935451.47</v>
      </c>
      <c r="Q21" s="4" t="n">
        <f aca="false">SUM(Q16:Q20)</f>
        <v>105980827.47</v>
      </c>
      <c r="R21" s="4" t="n">
        <f aca="false">SUM(R16:R20)</f>
        <v>104804725.87</v>
      </c>
      <c r="S21" s="4" t="n">
        <f aca="false">SUM(S16:S20)</f>
        <v>104479871.97</v>
      </c>
      <c r="T21" s="4" t="n">
        <f aca="false">SUM(T16:T20)</f>
        <v>93116055.42</v>
      </c>
      <c r="U21" s="4" t="n">
        <f aca="false">SUM(U16:U20)</f>
        <v>92660536.28</v>
      </c>
      <c r="V21" s="4" t="n">
        <f aca="false">SUM(V16:V20)</f>
        <v>92315372.14</v>
      </c>
      <c r="W21" s="4" t="n">
        <f aca="false">SUM(W16:W20)</f>
        <v>91922052.94</v>
      </c>
      <c r="X21" s="4" t="n">
        <f aca="false">E21</f>
        <v>106252304.63</v>
      </c>
      <c r="Y21" s="4" t="n">
        <f aca="false">Q21</f>
        <v>105980827.47</v>
      </c>
      <c r="Z21" s="4" t="n">
        <f aca="false">W21</f>
        <v>91922052.94</v>
      </c>
    </row>
    <row r="23" customFormat="false" ht="15" hidden="false" customHeight="false" outlineLevel="0" collapsed="false">
      <c r="A23" s="0" t="s">
        <v>65</v>
      </c>
      <c r="B23" s="3" t="n">
        <v>92807367.63</v>
      </c>
      <c r="C23" s="3" t="n">
        <v>94279825.81</v>
      </c>
      <c r="D23" s="3" t="n">
        <v>95977697.48</v>
      </c>
      <c r="E23" s="3" t="n">
        <v>96336078.81</v>
      </c>
      <c r="F23" s="3" t="n">
        <v>97286264.42</v>
      </c>
      <c r="G23" s="3" t="n">
        <v>98370228.88</v>
      </c>
      <c r="H23" s="3" t="n">
        <v>99741604.77</v>
      </c>
      <c r="I23" s="3" t="n">
        <v>101301866.6</v>
      </c>
      <c r="J23" s="3" t="n">
        <v>103049847.58</v>
      </c>
      <c r="K23" s="3" t="n">
        <v>104946033.39</v>
      </c>
      <c r="L23" s="3" t="n">
        <v>103393254.17</v>
      </c>
      <c r="M23" s="3" t="n">
        <v>101618517.98</v>
      </c>
      <c r="N23" s="3" t="n">
        <v>99984803.65</v>
      </c>
      <c r="O23" s="3" t="n">
        <v>98602327.3</v>
      </c>
      <c r="P23" s="3" t="n">
        <v>97460642.84</v>
      </c>
      <c r="Q23" s="3" t="n">
        <v>92984338.31</v>
      </c>
      <c r="R23" s="3" t="n">
        <v>90792176.77</v>
      </c>
      <c r="S23" s="3" t="n">
        <v>88719901.11</v>
      </c>
      <c r="T23" s="3" t="n">
        <v>93141417.9</v>
      </c>
      <c r="U23" s="3" t="n">
        <v>92779587.22</v>
      </c>
      <c r="V23" s="3" t="n">
        <v>92574225.6</v>
      </c>
      <c r="W23" s="3" t="n">
        <v>92659036.29</v>
      </c>
      <c r="X23" s="4" t="n">
        <f aca="false">E23</f>
        <v>96336078.81</v>
      </c>
      <c r="Y23" s="4" t="n">
        <f aca="false">Q23</f>
        <v>92984338.31</v>
      </c>
      <c r="Z23" s="4" t="n">
        <f aca="false">W23</f>
        <v>92659036.29</v>
      </c>
    </row>
    <row r="24" customFormat="false" ht="15" hidden="false" customHeight="false" outlineLevel="0" collapsed="false">
      <c r="A24" s="0" t="s">
        <v>66</v>
      </c>
      <c r="B24" s="3" t="n">
        <v>0</v>
      </c>
      <c r="C24" s="3" t="n">
        <v>0</v>
      </c>
      <c r="D24" s="3" t="n">
        <v>0</v>
      </c>
      <c r="E24" s="3" t="n">
        <v>0</v>
      </c>
      <c r="F24" s="3" t="n">
        <v>0</v>
      </c>
      <c r="G24" s="3" t="n">
        <v>0</v>
      </c>
      <c r="H24" s="3" t="n">
        <v>0</v>
      </c>
      <c r="I24" s="3" t="n">
        <v>0</v>
      </c>
      <c r="J24" s="3" t="n">
        <v>0</v>
      </c>
      <c r="K24" s="3" t="n">
        <v>0</v>
      </c>
      <c r="L24" s="3" t="n">
        <v>0</v>
      </c>
      <c r="M24" s="3" t="n">
        <v>0</v>
      </c>
      <c r="N24" s="3" t="n">
        <v>0</v>
      </c>
      <c r="O24" s="3" t="n">
        <v>0</v>
      </c>
      <c r="P24" s="3" t="n">
        <v>0</v>
      </c>
      <c r="Q24" s="3" t="n">
        <v>0</v>
      </c>
      <c r="R24" s="3" t="n">
        <v>0</v>
      </c>
      <c r="S24" s="3" t="n">
        <v>0</v>
      </c>
      <c r="T24" s="3" t="n">
        <v>16910820.62</v>
      </c>
      <c r="U24" s="3" t="n">
        <v>16910820.62</v>
      </c>
      <c r="V24" s="3" t="n">
        <v>16910820.62</v>
      </c>
      <c r="W24" s="3" t="n">
        <v>16910820.62</v>
      </c>
      <c r="X24" s="4" t="n">
        <f aca="false">E24</f>
        <v>0</v>
      </c>
      <c r="Y24" s="4" t="n">
        <f aca="false">Q24</f>
        <v>0</v>
      </c>
      <c r="Z24" s="4" t="n">
        <f aca="false">W24</f>
        <v>16910820.62</v>
      </c>
    </row>
    <row r="25" customFormat="false" ht="15" hidden="false" customHeight="false" outlineLevel="0" collapsed="false">
      <c r="A25" s="0" t="s">
        <v>67</v>
      </c>
      <c r="B25" s="4" t="n">
        <f aca="false">SUM(B23:B24)</f>
        <v>92807367.63</v>
      </c>
      <c r="C25" s="4" t="n">
        <f aca="false">SUM(C23:C24)</f>
        <v>94279825.81</v>
      </c>
      <c r="D25" s="4" t="n">
        <f aca="false">SUM(D23:D24)</f>
        <v>95977697.48</v>
      </c>
      <c r="E25" s="4" t="n">
        <f aca="false">SUM(E23:E24)</f>
        <v>96336078.81</v>
      </c>
      <c r="F25" s="4" t="n">
        <f aca="false">SUM(F23:F24)</f>
        <v>97286264.42</v>
      </c>
      <c r="G25" s="4" t="n">
        <f aca="false">SUM(G23:G24)</f>
        <v>98370228.88</v>
      </c>
      <c r="H25" s="4" t="n">
        <f aca="false">SUM(H23:H24)</f>
        <v>99741604.77</v>
      </c>
      <c r="I25" s="4" t="n">
        <f aca="false">SUM(I23:I24)</f>
        <v>101301866.6</v>
      </c>
      <c r="J25" s="4" t="n">
        <f aca="false">SUM(J23:J24)</f>
        <v>103049847.58</v>
      </c>
      <c r="K25" s="4" t="n">
        <f aca="false">SUM(K23:K24)</f>
        <v>104946033.39</v>
      </c>
      <c r="L25" s="4" t="n">
        <f aca="false">SUM(L23:L24)</f>
        <v>103393254.17</v>
      </c>
      <c r="M25" s="4" t="n">
        <f aca="false">SUM(M23:M24)</f>
        <v>101618517.98</v>
      </c>
      <c r="N25" s="4" t="n">
        <f aca="false">SUM(N23:N24)</f>
        <v>99984803.65</v>
      </c>
      <c r="O25" s="4" t="n">
        <f aca="false">SUM(O23:O24)</f>
        <v>98602327.3</v>
      </c>
      <c r="P25" s="4" t="n">
        <f aca="false">SUM(P23:P24)</f>
        <v>97460642.84</v>
      </c>
      <c r="Q25" s="4" t="n">
        <f aca="false">SUM(Q23:Q24)</f>
        <v>92984338.31</v>
      </c>
      <c r="R25" s="4" t="n">
        <f aca="false">SUM(R23:R24)</f>
        <v>90792176.77</v>
      </c>
      <c r="S25" s="4" t="n">
        <f aca="false">SUM(S23:S24)</f>
        <v>88719901.11</v>
      </c>
      <c r="T25" s="4" t="n">
        <f aca="false">SUM(T23:T24)</f>
        <v>110052238.52</v>
      </c>
      <c r="U25" s="4" t="n">
        <f aca="false">SUM(U23:U24)</f>
        <v>109690407.84</v>
      </c>
      <c r="V25" s="4" t="n">
        <f aca="false">SUM(V23:V24)</f>
        <v>109485046.22</v>
      </c>
      <c r="W25" s="4" t="n">
        <f aca="false">SUM(W23:W24)</f>
        <v>109569856.91</v>
      </c>
      <c r="X25" s="4" t="n">
        <f aca="false">E25</f>
        <v>96336078.81</v>
      </c>
      <c r="Y25" s="4" t="n">
        <f aca="false">Q25</f>
        <v>92984338.31</v>
      </c>
      <c r="Z25" s="4" t="n">
        <f aca="false">W25</f>
        <v>109569856.91</v>
      </c>
    </row>
    <row r="26" customFormat="false" ht="15" hidden="false" customHeight="false" outlineLevel="0" collapsed="false">
      <c r="A26" s="0" t="s">
        <v>68</v>
      </c>
      <c r="B26" s="4" t="n">
        <f aca="false">B21+B25</f>
        <v>201670639.02</v>
      </c>
      <c r="C26" s="4" t="n">
        <f aca="false">C21+C25</f>
        <v>203050443.91</v>
      </c>
      <c r="D26" s="4" t="n">
        <f aca="false">D21+D25</f>
        <v>204646896.06</v>
      </c>
      <c r="E26" s="4" t="n">
        <f aca="false">E21+E25</f>
        <v>202588383.44</v>
      </c>
      <c r="F26" s="4" t="n">
        <f aca="false">F21+F25</f>
        <v>203506378.32</v>
      </c>
      <c r="G26" s="4" t="n">
        <f aca="false">G21+G25</f>
        <v>204201786.05</v>
      </c>
      <c r="H26" s="4" t="n">
        <f aca="false">H21+H25</f>
        <v>204450392.3</v>
      </c>
      <c r="I26" s="4" t="n">
        <f aca="false">I21+I25</f>
        <v>205754125.9</v>
      </c>
      <c r="J26" s="4" t="n">
        <f aca="false">J21+J25</f>
        <v>207286230.46</v>
      </c>
      <c r="K26" s="4" t="n">
        <f aca="false">K21+K25</f>
        <v>207722137.65</v>
      </c>
      <c r="L26" s="4" t="n">
        <f aca="false">L21+L25</f>
        <v>206062697.35</v>
      </c>
      <c r="M26" s="4" t="n">
        <f aca="false">M21+M25</f>
        <v>203416593.98</v>
      </c>
      <c r="N26" s="4" t="n">
        <f aca="false">N21+N25</f>
        <v>201122922.05</v>
      </c>
      <c r="O26" s="4" t="n">
        <f aca="false">O21+O25</f>
        <v>199145021.66</v>
      </c>
      <c r="P26" s="4" t="n">
        <f aca="false">P21+P25</f>
        <v>197396094.31</v>
      </c>
      <c r="Q26" s="4" t="n">
        <f aca="false">Q21+Q25</f>
        <v>198965165.78</v>
      </c>
      <c r="R26" s="4" t="n">
        <f aca="false">R21+R25</f>
        <v>195596902.64</v>
      </c>
      <c r="S26" s="4" t="n">
        <f aca="false">S21+S25</f>
        <v>193199773.08</v>
      </c>
      <c r="T26" s="4" t="n">
        <f aca="false">T21+T25</f>
        <v>203168293.94</v>
      </c>
      <c r="U26" s="4" t="n">
        <f aca="false">U21+U25</f>
        <v>202350944.12</v>
      </c>
      <c r="V26" s="4" t="n">
        <f aca="false">V21+V25</f>
        <v>201800418.36</v>
      </c>
      <c r="W26" s="4" t="n">
        <f aca="false">W21+W25</f>
        <v>201491909.85</v>
      </c>
      <c r="X26" s="4" t="n">
        <f aca="false">E26</f>
        <v>202588383.44</v>
      </c>
      <c r="Y26" s="4" t="n">
        <f aca="false">Q26</f>
        <v>198965165.78</v>
      </c>
      <c r="Z26" s="4" t="n">
        <f aca="false">W26</f>
        <v>201491909.85</v>
      </c>
    </row>
    <row r="27" customFormat="false" ht="15" hidden="false" customHeight="false" outlineLevel="0" collapsed="false">
      <c r="A27" s="0" t="s">
        <v>69</v>
      </c>
      <c r="B27" s="4" t="n">
        <f aca="false">B14-B26</f>
        <v>0</v>
      </c>
      <c r="C27" s="4" t="n">
        <f aca="false">C14-C26</f>
        <v>0</v>
      </c>
      <c r="D27" s="4" t="n">
        <f aca="false">D14-D26</f>
        <v>0</v>
      </c>
      <c r="E27" s="4" t="n">
        <f aca="false">E14-E26</f>
        <v>0</v>
      </c>
      <c r="F27" s="4" t="n">
        <f aca="false">F14-F26</f>
        <v>0</v>
      </c>
      <c r="G27" s="4" t="n">
        <f aca="false">G14-G26</f>
        <v>0</v>
      </c>
      <c r="H27" s="4" t="n">
        <f aca="false">H14-H26</f>
        <v>0</v>
      </c>
      <c r="I27" s="4" t="n">
        <f aca="false">I14-I26</f>
        <v>0</v>
      </c>
      <c r="J27" s="4" t="n">
        <f aca="false">J14-J26</f>
        <v>0</v>
      </c>
      <c r="K27" s="4" t="n">
        <f aca="false">K14-K26</f>
        <v>0</v>
      </c>
      <c r="L27" s="4" t="n">
        <f aca="false">L14-L26</f>
        <v>0</v>
      </c>
      <c r="M27" s="4" t="n">
        <f aca="false">M14-M26</f>
        <v>0</v>
      </c>
      <c r="N27" s="4" t="n">
        <f aca="false">N14-N26</f>
        <v>0</v>
      </c>
      <c r="O27" s="4" t="n">
        <f aca="false">O14-O26</f>
        <v>0</v>
      </c>
      <c r="P27" s="4" t="n">
        <f aca="false">P14-P26</f>
        <v>0</v>
      </c>
      <c r="Q27" s="4" t="n">
        <f aca="false">Q14-Q26</f>
        <v>0</v>
      </c>
      <c r="R27" s="4" t="n">
        <f aca="false">R14-R26</f>
        <v>0</v>
      </c>
      <c r="S27" s="4" t="n">
        <f aca="false">S14-S26</f>
        <v>0</v>
      </c>
      <c r="T27" s="4" t="n">
        <f aca="false">T14-T26</f>
        <v>0</v>
      </c>
      <c r="U27" s="4" t="n">
        <f aca="false">U14-U26</f>
        <v>0</v>
      </c>
      <c r="V27" s="4" t="n">
        <f aca="false">V14-V26</f>
        <v>0</v>
      </c>
      <c r="W27" s="4" t="n">
        <f aca="false">W14-W26</f>
        <v>0</v>
      </c>
      <c r="X27" s="4" t="n">
        <f aca="false">E27</f>
        <v>0</v>
      </c>
      <c r="Y27" s="4" t="n">
        <f aca="false">Q27</f>
        <v>0</v>
      </c>
      <c r="Z27" s="4" t="n">
        <f aca="false">W27</f>
        <v>0</v>
      </c>
    </row>
    <row r="29" customFormat="false" ht="15" hidden="false" customHeight="false" outlineLevel="0" collapsed="false">
      <c r="A29" s="1" t="s">
        <v>70</v>
      </c>
    </row>
    <row r="30" customFormat="false" ht="15" hidden="false" customHeight="false" outlineLevel="0" collapsed="false">
      <c r="A30" s="0" t="s">
        <v>71</v>
      </c>
      <c r="B30" s="3" t="n">
        <v>59901433.43</v>
      </c>
      <c r="C30" s="3" t="n">
        <v>59482123.4</v>
      </c>
      <c r="D30" s="3" t="n">
        <v>59065748.54</v>
      </c>
      <c r="E30" s="3" t="n">
        <v>58652288.3</v>
      </c>
      <c r="F30" s="3" t="n">
        <v>58241722.28</v>
      </c>
      <c r="G30" s="3" t="n">
        <v>57834030.22</v>
      </c>
      <c r="H30" s="3" t="n">
        <v>57429192.01</v>
      </c>
      <c r="I30" s="3" t="n">
        <v>57027187.67</v>
      </c>
      <c r="J30" s="3" t="n">
        <v>56627997.36</v>
      </c>
      <c r="K30" s="3" t="n">
        <v>56231601.38</v>
      </c>
      <c r="L30" s="3" t="n">
        <v>55837980.17</v>
      </c>
      <c r="M30" s="3" t="n">
        <v>55447114.31</v>
      </c>
      <c r="N30" s="3" t="n">
        <v>55058984.51</v>
      </c>
      <c r="O30" s="3" t="n">
        <v>54673571.62</v>
      </c>
      <c r="P30" s="3" t="n">
        <v>54290856.62</v>
      </c>
      <c r="Q30" s="3" t="n">
        <v>53910820.62</v>
      </c>
      <c r="R30" s="3" t="n">
        <v>60910820.62</v>
      </c>
      <c r="S30" s="3" t="n">
        <v>60910820.62</v>
      </c>
      <c r="T30" s="3" t="n">
        <v>60910820.62</v>
      </c>
      <c r="U30" s="3" t="n">
        <v>51000000</v>
      </c>
      <c r="V30" s="3" t="n">
        <v>50949000</v>
      </c>
      <c r="W30" s="3" t="n">
        <v>50898051</v>
      </c>
      <c r="X30" s="4" t="n">
        <f aca="false">B30</f>
        <v>59901433.43</v>
      </c>
      <c r="Y30" s="4" t="n">
        <f aca="false">F30</f>
        <v>58241722.28</v>
      </c>
      <c r="Z30" s="4" t="n">
        <f aca="false">R30</f>
        <v>60910820.62</v>
      </c>
    </row>
    <row r="31" customFormat="false" ht="15" hidden="false" customHeight="false" outlineLevel="0" collapsed="false">
      <c r="A31" s="0" t="s">
        <v>72</v>
      </c>
      <c r="B31" s="3" t="n">
        <v>0</v>
      </c>
      <c r="C31" s="3" t="n">
        <v>0</v>
      </c>
      <c r="D31" s="3" t="n">
        <v>0</v>
      </c>
      <c r="E31" s="3" t="n">
        <v>0</v>
      </c>
      <c r="F31" s="3" t="n">
        <v>0</v>
      </c>
      <c r="G31" s="3" t="n">
        <v>0</v>
      </c>
      <c r="H31" s="3" t="n">
        <v>0</v>
      </c>
      <c r="I31" s="3" t="n">
        <v>0</v>
      </c>
      <c r="J31" s="3" t="n">
        <v>0</v>
      </c>
      <c r="K31" s="3" t="n">
        <v>0</v>
      </c>
      <c r="L31" s="3" t="n">
        <v>0</v>
      </c>
      <c r="M31" s="3" t="n">
        <v>0</v>
      </c>
      <c r="N31" s="3" t="n">
        <v>0</v>
      </c>
      <c r="O31" s="3" t="n">
        <v>0</v>
      </c>
      <c r="P31" s="3" t="n">
        <v>0</v>
      </c>
      <c r="Q31" s="3" t="n">
        <v>7000000</v>
      </c>
      <c r="R31" s="3" t="n">
        <v>0</v>
      </c>
      <c r="S31" s="3" t="n">
        <v>0</v>
      </c>
      <c r="T31" s="3" t="n">
        <v>7000000</v>
      </c>
      <c r="U31" s="3" t="n">
        <v>0</v>
      </c>
      <c r="V31" s="3" t="n">
        <v>0</v>
      </c>
      <c r="W31" s="3" t="n">
        <v>0</v>
      </c>
      <c r="X31" s="4" t="n">
        <f aca="false">SUM(B31:E31)</f>
        <v>0</v>
      </c>
      <c r="Y31" s="4" t="n">
        <f aca="false">SUM(F31:Q31)</f>
        <v>7000000</v>
      </c>
      <c r="Z31" s="4" t="n">
        <f aca="false">SUM(R31:W31)</f>
        <v>7000000</v>
      </c>
    </row>
    <row r="32" customFormat="false" ht="15" hidden="false" customHeight="false" outlineLevel="0" collapsed="false">
      <c r="A32" s="0" t="s">
        <v>73</v>
      </c>
      <c r="B32" s="3" t="n">
        <v>-419310.03</v>
      </c>
      <c r="C32" s="3" t="n">
        <v>-416374.86</v>
      </c>
      <c r="D32" s="3" t="n">
        <v>-413460.24</v>
      </c>
      <c r="E32" s="3" t="n">
        <v>-410566.02</v>
      </c>
      <c r="F32" s="3" t="n">
        <v>-407692.06</v>
      </c>
      <c r="G32" s="3" t="n">
        <v>-404838.21</v>
      </c>
      <c r="H32" s="3" t="n">
        <v>-402004.34</v>
      </c>
      <c r="I32" s="3" t="n">
        <v>-399190.31</v>
      </c>
      <c r="J32" s="3" t="n">
        <v>-396395.98</v>
      </c>
      <c r="K32" s="3" t="n">
        <v>-393621.21</v>
      </c>
      <c r="L32" s="3" t="n">
        <v>-390865.86</v>
      </c>
      <c r="M32" s="3" t="n">
        <v>-388129.8</v>
      </c>
      <c r="N32" s="3" t="n">
        <v>-385412.89</v>
      </c>
      <c r="O32" s="3" t="n">
        <v>-382715</v>
      </c>
      <c r="P32" s="3" t="n">
        <v>-380036</v>
      </c>
      <c r="Q32" s="3" t="n">
        <v>0</v>
      </c>
      <c r="R32" s="3" t="n">
        <v>0</v>
      </c>
      <c r="S32" s="3" t="n">
        <v>0</v>
      </c>
      <c r="T32" s="3" t="n">
        <v>0</v>
      </c>
      <c r="U32" s="3" t="n">
        <v>-51000</v>
      </c>
      <c r="V32" s="3" t="n">
        <v>-50949</v>
      </c>
      <c r="W32" s="3" t="n">
        <v>-50898.05</v>
      </c>
      <c r="X32" s="4" t="n">
        <f aca="false">SUM(B32:E32)</f>
        <v>-1659711.15</v>
      </c>
      <c r="Y32" s="4" t="n">
        <f aca="false">SUM(F32:Q32)</f>
        <v>-4330901.66</v>
      </c>
      <c r="Z32" s="4" t="n">
        <f aca="false">SUM(R32:W32)</f>
        <v>-152847.05</v>
      </c>
    </row>
    <row r="33" customFormat="false" ht="15" hidden="false" customHeight="false" outlineLevel="0" collapsed="false">
      <c r="A33" s="0" t="s">
        <v>74</v>
      </c>
      <c r="B33" s="3" t="n">
        <v>0</v>
      </c>
      <c r="C33" s="3" t="n">
        <v>0</v>
      </c>
      <c r="D33" s="3" t="n">
        <v>0</v>
      </c>
      <c r="E33" s="3" t="n">
        <v>0</v>
      </c>
      <c r="F33" s="3" t="n">
        <v>-57834030.22</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4" t="n">
        <f aca="false">SUM(B33:E33)</f>
        <v>0</v>
      </c>
      <c r="Y33" s="4" t="n">
        <f aca="false">SUM(F33:Q33)</f>
        <v>-57834030.22</v>
      </c>
      <c r="Z33" s="4" t="n">
        <f aca="false">SUM(R33:W33)</f>
        <v>0</v>
      </c>
    </row>
    <row r="34" customFormat="false" ht="15" hidden="false" customHeight="false" outlineLevel="0" collapsed="false">
      <c r="A34" s="0" t="s">
        <v>75</v>
      </c>
      <c r="B34" s="3" t="n">
        <v>0</v>
      </c>
      <c r="C34" s="3" t="n">
        <v>0</v>
      </c>
      <c r="D34" s="3" t="n">
        <v>0</v>
      </c>
      <c r="E34" s="3" t="n">
        <v>0</v>
      </c>
      <c r="F34" s="3" t="n">
        <v>57834030.22</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4" t="n">
        <f aca="false">SUM(B34:E34)</f>
        <v>0</v>
      </c>
      <c r="Y34" s="4" t="n">
        <f aca="false">SUM(F34:Q34)</f>
        <v>57834030.22</v>
      </c>
      <c r="Z34" s="4" t="n">
        <f aca="false">SUM(R34:W34)</f>
        <v>0</v>
      </c>
    </row>
    <row r="35" customFormat="false" ht="15" hidden="false" customHeight="false" outlineLevel="0" collapsed="false">
      <c r="A35" s="0" t="s">
        <v>76</v>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c r="T35" s="3" t="n">
        <v>-16910820.62</v>
      </c>
      <c r="U35" s="3" t="n">
        <v>0</v>
      </c>
      <c r="V35" s="3" t="n">
        <v>0</v>
      </c>
      <c r="W35" s="3" t="n">
        <v>0</v>
      </c>
      <c r="X35" s="4" t="n">
        <f aca="false">SUM(B35:E35)</f>
        <v>0</v>
      </c>
      <c r="Y35" s="4" t="n">
        <f aca="false">SUM(F35:Q35)</f>
        <v>0</v>
      </c>
      <c r="Z35" s="4" t="n">
        <f aca="false">SUM(R35:W35)</f>
        <v>-16910820.62</v>
      </c>
    </row>
    <row r="36" customFormat="false" ht="15" hidden="false" customHeight="false" outlineLevel="0" collapsed="false">
      <c r="A36" s="0" t="s">
        <v>77</v>
      </c>
      <c r="B36" s="4" t="n">
        <f aca="false">SUM(B30:B35)</f>
        <v>59482123.4</v>
      </c>
      <c r="C36" s="4" t="n">
        <f aca="false">SUM(C30:C35)</f>
        <v>59065748.54</v>
      </c>
      <c r="D36" s="4" t="n">
        <f aca="false">SUM(D30:D35)</f>
        <v>58652288.3</v>
      </c>
      <c r="E36" s="4" t="n">
        <f aca="false">SUM(E30:E35)</f>
        <v>58241722.28</v>
      </c>
      <c r="F36" s="4" t="n">
        <f aca="false">SUM(F30:F35)</f>
        <v>57834030.22</v>
      </c>
      <c r="G36" s="4" t="n">
        <f aca="false">SUM(G30:G35)</f>
        <v>57429192.01</v>
      </c>
      <c r="H36" s="4" t="n">
        <f aca="false">SUM(H30:H35)</f>
        <v>57027187.67</v>
      </c>
      <c r="I36" s="4" t="n">
        <f aca="false">SUM(I30:I35)</f>
        <v>56627997.36</v>
      </c>
      <c r="J36" s="4" t="n">
        <f aca="false">SUM(J30:J35)</f>
        <v>56231601.38</v>
      </c>
      <c r="K36" s="4" t="n">
        <f aca="false">SUM(K30:K35)</f>
        <v>55837980.17</v>
      </c>
      <c r="L36" s="4" t="n">
        <f aca="false">SUM(L30:L35)</f>
        <v>55447114.31</v>
      </c>
      <c r="M36" s="4" t="n">
        <f aca="false">SUM(M30:M35)</f>
        <v>55058984.51</v>
      </c>
      <c r="N36" s="4" t="n">
        <f aca="false">SUM(N30:N35)</f>
        <v>54673571.62</v>
      </c>
      <c r="O36" s="4" t="n">
        <f aca="false">SUM(O30:O35)</f>
        <v>54290856.62</v>
      </c>
      <c r="P36" s="4" t="n">
        <f aca="false">SUM(P30:P35)</f>
        <v>53910820.62</v>
      </c>
      <c r="Q36" s="4" t="n">
        <f aca="false">SUM(Q30:Q35)</f>
        <v>60910820.62</v>
      </c>
      <c r="R36" s="4" t="n">
        <f aca="false">SUM(R30:R35)</f>
        <v>60910820.62</v>
      </c>
      <c r="S36" s="4" t="n">
        <f aca="false">SUM(S30:S35)</f>
        <v>60910820.62</v>
      </c>
      <c r="T36" s="4" t="n">
        <f aca="false">SUM(T30:T35)</f>
        <v>51000000</v>
      </c>
      <c r="U36" s="4" t="n">
        <f aca="false">SUM(U30:U35)</f>
        <v>50949000</v>
      </c>
      <c r="V36" s="4" t="n">
        <f aca="false">SUM(V30:V35)</f>
        <v>50898051</v>
      </c>
      <c r="W36" s="4" t="n">
        <f aca="false">SUM(W30:W35)</f>
        <v>50847152.95</v>
      </c>
      <c r="X36" s="4" t="n">
        <f aca="false">E36</f>
        <v>58241722.28</v>
      </c>
      <c r="Y36" s="4" t="n">
        <f aca="false">Q36</f>
        <v>60910820.62</v>
      </c>
      <c r="Z36" s="4" t="n">
        <f aca="false">W36</f>
        <v>50847152.95</v>
      </c>
    </row>
    <row r="37" customFormat="false" ht="15" hidden="false" customHeight="false" outlineLevel="0" collapsed="false">
      <c r="A37" s="0" t="s">
        <v>78</v>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c r="S37" s="3" t="n">
        <v>0</v>
      </c>
      <c r="T37" s="3" t="n">
        <v>-1200000</v>
      </c>
      <c r="U37" s="3" t="n">
        <v>-1180000</v>
      </c>
      <c r="V37" s="3" t="n">
        <v>-1160000</v>
      </c>
      <c r="W37" s="3" t="n">
        <v>-1140000</v>
      </c>
      <c r="X37" s="4" t="n">
        <f aca="false">E37</f>
        <v>0</v>
      </c>
      <c r="Y37" s="4" t="n">
        <f aca="false">Q37</f>
        <v>0</v>
      </c>
      <c r="Z37" s="4" t="n">
        <f aca="false">W37</f>
        <v>-1140000</v>
      </c>
    </row>
    <row r="38" customFormat="false" ht="15" hidden="false" customHeight="false" outlineLevel="0" collapsed="false">
      <c r="A38" s="0" t="s">
        <v>79</v>
      </c>
      <c r="B38" s="4" t="n">
        <f aca="false">B36+B37</f>
        <v>59482123.4</v>
      </c>
      <c r="C38" s="4" t="n">
        <f aca="false">C36+C37</f>
        <v>59065748.54</v>
      </c>
      <c r="D38" s="4" t="n">
        <f aca="false">D36+D37</f>
        <v>58652288.3</v>
      </c>
      <c r="E38" s="4" t="n">
        <f aca="false">E36+E37</f>
        <v>58241722.28</v>
      </c>
      <c r="F38" s="4" t="n">
        <f aca="false">F36+F37</f>
        <v>57834030.22</v>
      </c>
      <c r="G38" s="4" t="n">
        <f aca="false">G36+G37</f>
        <v>57429192.01</v>
      </c>
      <c r="H38" s="4" t="n">
        <f aca="false">H36+H37</f>
        <v>57027187.67</v>
      </c>
      <c r="I38" s="4" t="n">
        <f aca="false">I36+I37</f>
        <v>56627997.36</v>
      </c>
      <c r="J38" s="4" t="n">
        <f aca="false">J36+J37</f>
        <v>56231601.38</v>
      </c>
      <c r="K38" s="4" t="n">
        <f aca="false">K36+K37</f>
        <v>55837980.17</v>
      </c>
      <c r="L38" s="4" t="n">
        <f aca="false">L36+L37</f>
        <v>55447114.31</v>
      </c>
      <c r="M38" s="4" t="n">
        <f aca="false">M36+M37</f>
        <v>55058984.51</v>
      </c>
      <c r="N38" s="4" t="n">
        <f aca="false">N36+N37</f>
        <v>54673571.62</v>
      </c>
      <c r="O38" s="4" t="n">
        <f aca="false">O36+O37</f>
        <v>54290856.62</v>
      </c>
      <c r="P38" s="4" t="n">
        <f aca="false">P36+P37</f>
        <v>53910820.62</v>
      </c>
      <c r="Q38" s="4" t="n">
        <f aca="false">Q36+Q37</f>
        <v>60910820.62</v>
      </c>
      <c r="R38" s="4" t="n">
        <f aca="false">R36+R37</f>
        <v>60910820.62</v>
      </c>
      <c r="S38" s="4" t="n">
        <f aca="false">S36+S37</f>
        <v>60910820.62</v>
      </c>
      <c r="T38" s="4" t="n">
        <f aca="false">T36+T37</f>
        <v>49800000</v>
      </c>
      <c r="U38" s="4" t="n">
        <f aca="false">U36+U37</f>
        <v>49769000</v>
      </c>
      <c r="V38" s="4" t="n">
        <f aca="false">V36+V37</f>
        <v>49738051</v>
      </c>
      <c r="W38" s="4" t="n">
        <f aca="false">W36+W37</f>
        <v>49707152.95</v>
      </c>
      <c r="X38" s="4" t="n">
        <f aca="false">E38</f>
        <v>58241722.28</v>
      </c>
      <c r="Y38" s="4" t="n">
        <f aca="false">Q38</f>
        <v>60910820.62</v>
      </c>
      <c r="Z38" s="4" t="n">
        <f aca="false">W38</f>
        <v>49707152.95</v>
      </c>
    </row>
    <row r="40" customFormat="false" ht="15" hidden="false" customHeight="false" outlineLevel="0" collapsed="false">
      <c r="A40" s="1" t="s">
        <v>80</v>
      </c>
    </row>
    <row r="41" customFormat="false" ht="15" hidden="false" customHeight="false" outlineLevel="0" collapsed="false">
      <c r="A41" s="0" t="s">
        <v>81</v>
      </c>
      <c r="B41" s="3" t="n">
        <v>574055.4</v>
      </c>
      <c r="C41" s="3" t="n">
        <v>570037.02</v>
      </c>
      <c r="D41" s="3" t="n">
        <v>566046.76</v>
      </c>
      <c r="E41" s="3" t="n">
        <v>562084.43</v>
      </c>
      <c r="F41" s="3" t="n">
        <v>558149.84</v>
      </c>
      <c r="G41" s="3" t="n">
        <v>554242.79</v>
      </c>
      <c r="H41" s="3" t="n">
        <v>550363.09</v>
      </c>
      <c r="I41" s="3" t="n">
        <v>546510.55</v>
      </c>
      <c r="J41" s="3" t="n">
        <v>542684.97</v>
      </c>
      <c r="K41" s="3" t="n">
        <v>538886.18</v>
      </c>
      <c r="L41" s="3" t="n">
        <v>535113.98</v>
      </c>
      <c r="M41" s="3" t="n">
        <v>531368.18</v>
      </c>
      <c r="N41" s="3" t="n">
        <v>527648.6</v>
      </c>
      <c r="O41" s="3" t="n">
        <v>523955.06</v>
      </c>
      <c r="P41" s="3" t="n">
        <v>520287.38</v>
      </c>
      <c r="Q41" s="3" t="n">
        <v>574784.25</v>
      </c>
      <c r="R41" s="3" t="n">
        <v>583728.7</v>
      </c>
      <c r="S41" s="3" t="n">
        <v>583728.7</v>
      </c>
      <c r="T41" s="3" t="n">
        <v>583728.7</v>
      </c>
      <c r="U41" s="3" t="n">
        <v>425000</v>
      </c>
      <c r="V41" s="3" t="n">
        <v>424575</v>
      </c>
      <c r="W41" s="3" t="n">
        <v>424150.43</v>
      </c>
      <c r="X41" s="4" t="n">
        <f aca="false">SUM(B41:E41)</f>
        <v>2272223.61</v>
      </c>
      <c r="Y41" s="4" t="n">
        <f aca="false">SUM(F41:Q41)</f>
        <v>6503994.87</v>
      </c>
      <c r="Z41" s="4" t="n">
        <f aca="false">SUM(R41:W41)</f>
        <v>3024911.53</v>
      </c>
    </row>
    <row r="42" customFormat="false" ht="15" hidden="false" customHeight="false" outlineLevel="0" collapsed="false">
      <c r="A42" s="0" t="s">
        <v>82</v>
      </c>
      <c r="B42" s="3" t="n">
        <v>419310.03</v>
      </c>
      <c r="C42" s="3" t="n">
        <v>416374.86</v>
      </c>
      <c r="D42" s="3" t="n">
        <v>413460.24</v>
      </c>
      <c r="E42" s="3" t="n">
        <v>410566.02</v>
      </c>
      <c r="F42" s="3" t="n">
        <v>407692.06</v>
      </c>
      <c r="G42" s="3" t="n">
        <v>404838.21</v>
      </c>
      <c r="H42" s="3" t="n">
        <v>402004.34</v>
      </c>
      <c r="I42" s="3" t="n">
        <v>399190.31</v>
      </c>
      <c r="J42" s="3" t="n">
        <v>396395.98</v>
      </c>
      <c r="K42" s="3" t="n">
        <v>393621.21</v>
      </c>
      <c r="L42" s="3" t="n">
        <v>390865.86</v>
      </c>
      <c r="M42" s="3" t="n">
        <v>388129.8</v>
      </c>
      <c r="N42" s="3" t="n">
        <v>385412.89</v>
      </c>
      <c r="O42" s="3" t="n">
        <v>382715</v>
      </c>
      <c r="P42" s="3" t="n">
        <v>380036</v>
      </c>
      <c r="Q42" s="3" t="n">
        <v>0</v>
      </c>
      <c r="R42" s="3" t="n">
        <v>0</v>
      </c>
      <c r="S42" s="3" t="n">
        <v>0</v>
      </c>
      <c r="T42" s="3" t="n">
        <v>0</v>
      </c>
      <c r="U42" s="3" t="n">
        <v>51000</v>
      </c>
      <c r="V42" s="3" t="n">
        <v>50949</v>
      </c>
      <c r="W42" s="3" t="n">
        <v>50898.05</v>
      </c>
      <c r="X42" s="4" t="n">
        <f aca="false">SUM(B42:E42)</f>
        <v>1659711.15</v>
      </c>
      <c r="Y42" s="4" t="n">
        <f aca="false">SUM(F42:Q42)</f>
        <v>4330901.66</v>
      </c>
      <c r="Z42" s="4" t="n">
        <f aca="false">SUM(R42:W42)</f>
        <v>152847.05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0" t="s">
        <v>83</v>
      </c>
    </row>
    <row r="2" customFormat="false" ht="15" hidden="false" customHeight="false" outlineLevel="0" collapsed="false">
      <c r="A2" s="0" t="s">
        <v>84</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row>
    <row r="7" customFormat="false" ht="15" hidden="false" customHeight="false" outlineLevel="0" collapsed="false">
      <c r="A7" s="0" t="s">
        <v>85</v>
      </c>
      <c r="B7" s="3" t="n">
        <v>9352790.8</v>
      </c>
      <c r="C7" s="3" t="n">
        <v>8238520.82</v>
      </c>
      <c r="D7" s="3" t="n">
        <v>8364065.55</v>
      </c>
      <c r="E7" s="3" t="n">
        <v>8968774.06</v>
      </c>
      <c r="F7" s="3" t="n">
        <v>10192084.18</v>
      </c>
      <c r="G7" s="3" t="n">
        <v>9490470.67</v>
      </c>
      <c r="H7" s="3" t="n">
        <v>9342106.58</v>
      </c>
      <c r="I7" s="3" t="n">
        <v>8319679.08</v>
      </c>
      <c r="J7" s="3" t="n">
        <v>8584491.81</v>
      </c>
      <c r="K7" s="3" t="n">
        <v>9061715.65</v>
      </c>
      <c r="L7" s="3" t="n">
        <v>8533476.07</v>
      </c>
      <c r="M7" s="3" t="n">
        <v>10150227.35</v>
      </c>
      <c r="N7" s="3" t="n">
        <v>8935807.77</v>
      </c>
      <c r="O7" s="3" t="n">
        <v>6951216.92</v>
      </c>
      <c r="P7" s="3" t="n">
        <v>5008900.01</v>
      </c>
      <c r="Q7" s="3" t="n">
        <v>3431896.38</v>
      </c>
      <c r="R7" s="3" t="n">
        <v>11012418.04</v>
      </c>
      <c r="S7" s="3" t="n">
        <v>9181041.24</v>
      </c>
      <c r="T7" s="3" t="n">
        <v>7684278.13</v>
      </c>
      <c r="U7" s="3" t="n">
        <v>18136708.95</v>
      </c>
      <c r="V7" s="3" t="n">
        <v>18140282.4</v>
      </c>
      <c r="W7" s="3" t="n">
        <v>18413087.37</v>
      </c>
      <c r="X7" s="4" t="n">
        <f aca="false">B7</f>
        <v>9352790.8</v>
      </c>
      <c r="Y7" s="4" t="n">
        <f aca="false">F7</f>
        <v>10192084.18</v>
      </c>
      <c r="Z7" s="4" t="n">
        <f aca="false">R7</f>
        <v>11012418.04</v>
      </c>
    </row>
    <row r="8" customFormat="false" ht="15" hidden="false" customHeight="false" outlineLevel="0" collapsed="false">
      <c r="A8" s="0" t="s">
        <v>86</v>
      </c>
      <c r="B8" s="3" t="n">
        <v>1062308.96</v>
      </c>
      <c r="C8" s="3" t="n">
        <v>2371458.05</v>
      </c>
      <c r="D8" s="3" t="n">
        <v>2896901.34</v>
      </c>
      <c r="E8" s="3" t="n">
        <v>3240621.58</v>
      </c>
      <c r="F8" s="3" t="n">
        <v>1405779.93</v>
      </c>
      <c r="G8" s="3" t="n">
        <v>1986123.53</v>
      </c>
      <c r="H8" s="3" t="n">
        <v>1170536.21</v>
      </c>
      <c r="I8" s="3" t="n">
        <v>2496105.13</v>
      </c>
      <c r="J8" s="3" t="n">
        <v>2746929.55</v>
      </c>
      <c r="K8" s="3" t="n">
        <v>1771945.5</v>
      </c>
      <c r="L8" s="3" t="n">
        <v>2228724.31</v>
      </c>
      <c r="M8" s="3" t="n">
        <v>-612745.08</v>
      </c>
      <c r="N8" s="3" t="n">
        <v>-1380923.74</v>
      </c>
      <c r="O8" s="3" t="n">
        <v>-1332911.82</v>
      </c>
      <c r="P8" s="3" t="n">
        <v>-962576.69</v>
      </c>
      <c r="Q8" s="3" t="n">
        <v>920196.69</v>
      </c>
      <c r="R8" s="3" t="n">
        <v>-1635328.31</v>
      </c>
      <c r="S8" s="3" t="n">
        <v>-1297667.94</v>
      </c>
      <c r="T8" s="3" t="n">
        <v>-3141099.35</v>
      </c>
      <c r="U8" s="3" t="n">
        <v>282362.15</v>
      </c>
      <c r="V8" s="3" t="n">
        <v>555510.27</v>
      </c>
      <c r="W8" s="3" t="n">
        <v>692217.27</v>
      </c>
      <c r="X8" s="4" t="n">
        <f aca="false">SUM(B8:E8)</f>
        <v>9571289.93</v>
      </c>
      <c r="Y8" s="4" t="n">
        <f aca="false">SUM(F8:Q8)</f>
        <v>10437183.52</v>
      </c>
      <c r="Z8" s="4" t="n">
        <f aca="false">SUM(R8:W8)</f>
        <v>-4544005.91</v>
      </c>
    </row>
    <row r="9" customFormat="false" ht="15" hidden="false" customHeight="false" outlineLevel="0" collapsed="false">
      <c r="A9" s="0" t="s">
        <v>87</v>
      </c>
      <c r="B9" s="3" t="n">
        <v>-1757268.91</v>
      </c>
      <c r="C9" s="3" t="n">
        <v>-1829538.46</v>
      </c>
      <c r="D9" s="3" t="n">
        <v>-1878732.59</v>
      </c>
      <c r="E9" s="3" t="n">
        <v>-1606745.44</v>
      </c>
      <c r="F9" s="3" t="n">
        <v>-1699701.38</v>
      </c>
      <c r="G9" s="3" t="n">
        <v>-1729649.41</v>
      </c>
      <c r="H9" s="3" t="n">
        <v>-1790959.37</v>
      </c>
      <c r="I9" s="3" t="n">
        <v>-1832102.09</v>
      </c>
      <c r="J9" s="3" t="n">
        <v>-1873309.73</v>
      </c>
      <c r="K9" s="3" t="n">
        <v>-1906563.87</v>
      </c>
      <c r="L9" s="3" t="n">
        <v>-221107.17</v>
      </c>
      <c r="M9" s="3" t="n">
        <v>-213544.7</v>
      </c>
      <c r="N9" s="3" t="n">
        <v>-218254.22</v>
      </c>
      <c r="O9" s="3" t="n">
        <v>-226690.09</v>
      </c>
      <c r="P9" s="3" t="n">
        <v>-234390.94</v>
      </c>
      <c r="Q9" s="3" t="n">
        <v>-199675.03</v>
      </c>
      <c r="R9" s="3" t="n">
        <v>-196048.49</v>
      </c>
      <c r="S9" s="3" t="n">
        <v>-199095.17</v>
      </c>
      <c r="T9" s="3" t="n">
        <v>-206469.83</v>
      </c>
      <c r="U9" s="3" t="n">
        <v>-227788.7</v>
      </c>
      <c r="V9" s="3" t="n">
        <v>-231756.3</v>
      </c>
      <c r="W9" s="3" t="n">
        <v>-236962.8</v>
      </c>
      <c r="X9" s="4" t="n">
        <f aca="false">SUM(B9:E9)</f>
        <v>-7072285.4</v>
      </c>
      <c r="Y9" s="4" t="n">
        <f aca="false">SUM(F9:Q9)</f>
        <v>-12145948</v>
      </c>
      <c r="Z9" s="4" t="n">
        <f aca="false">SUM(R9:W9)</f>
        <v>-1298121.29</v>
      </c>
    </row>
    <row r="10" customFormat="false" ht="15" hidden="false" customHeight="false" outlineLevel="0" collapsed="false">
      <c r="A10" s="0" t="s">
        <v>88</v>
      </c>
      <c r="B10" s="3" t="n">
        <v>-419310.03</v>
      </c>
      <c r="C10" s="3" t="n">
        <v>-416374.86</v>
      </c>
      <c r="D10" s="3" t="n">
        <v>-413460.24</v>
      </c>
      <c r="E10" s="3" t="n">
        <v>-410566.02</v>
      </c>
      <c r="F10" s="3" t="n">
        <v>-407692.06</v>
      </c>
      <c r="G10" s="3" t="n">
        <v>-404838.21</v>
      </c>
      <c r="H10" s="3" t="n">
        <v>-402004.34</v>
      </c>
      <c r="I10" s="3" t="n">
        <v>-399190.31</v>
      </c>
      <c r="J10" s="3" t="n">
        <v>-396395.98</v>
      </c>
      <c r="K10" s="3" t="n">
        <v>-393621.21</v>
      </c>
      <c r="L10" s="3" t="n">
        <v>-390865.86</v>
      </c>
      <c r="M10" s="3" t="n">
        <v>-388129.8</v>
      </c>
      <c r="N10" s="3" t="n">
        <v>-385412.89</v>
      </c>
      <c r="O10" s="3" t="n">
        <v>-382715</v>
      </c>
      <c r="P10" s="3" t="n">
        <v>-380036</v>
      </c>
      <c r="Q10" s="3" t="n">
        <v>6860000</v>
      </c>
      <c r="R10" s="3" t="n">
        <v>0</v>
      </c>
      <c r="S10" s="3" t="n">
        <v>0</v>
      </c>
      <c r="T10" s="3" t="n">
        <v>13800000</v>
      </c>
      <c r="U10" s="3" t="n">
        <v>-51000</v>
      </c>
      <c r="V10" s="3" t="n">
        <v>-50949</v>
      </c>
      <c r="W10" s="3" t="n">
        <v>-50898.05</v>
      </c>
      <c r="X10" s="4" t="n">
        <f aca="false">SUM(B10:E10)</f>
        <v>-1659711.15</v>
      </c>
      <c r="Y10" s="4" t="n">
        <f aca="false">SUM(F10:Q10)</f>
        <v>2529098.34</v>
      </c>
      <c r="Z10" s="4" t="n">
        <f aca="false">SUM(R10:W10)</f>
        <v>13647152.95</v>
      </c>
    </row>
    <row r="11" customFormat="false" ht="15" hidden="false" customHeight="false" outlineLevel="0" collapsed="false">
      <c r="A11" s="0" t="s">
        <v>89</v>
      </c>
      <c r="B11" s="4" t="n">
        <f aca="false">B7+B8+B9+B10</f>
        <v>8238520.82</v>
      </c>
      <c r="C11" s="4" t="n">
        <f aca="false">C7+C8+C9+C10</f>
        <v>8364065.55</v>
      </c>
      <c r="D11" s="4" t="n">
        <f aca="false">D7+D8+D9+D10</f>
        <v>8968774.06</v>
      </c>
      <c r="E11" s="4" t="n">
        <f aca="false">E7+E8+E9+E10</f>
        <v>10192084.18</v>
      </c>
      <c r="F11" s="4" t="n">
        <f aca="false">F7+F8+F9+F10</f>
        <v>9490470.67</v>
      </c>
      <c r="G11" s="4" t="n">
        <f aca="false">G7+G8+G9+G10</f>
        <v>9342106.58</v>
      </c>
      <c r="H11" s="4" t="n">
        <f aca="false">H7+H8+H9+H10</f>
        <v>8319679.08</v>
      </c>
      <c r="I11" s="4" t="n">
        <f aca="false">I7+I8+I9+I10</f>
        <v>8584491.81</v>
      </c>
      <c r="J11" s="4" t="n">
        <f aca="false">J7+J8+J9+J10</f>
        <v>9061715.65</v>
      </c>
      <c r="K11" s="4" t="n">
        <f aca="false">K7+K8+K9+K10</f>
        <v>8533476.07</v>
      </c>
      <c r="L11" s="4" t="n">
        <f aca="false">L7+L8+L9+L10</f>
        <v>10150227.35</v>
      </c>
      <c r="M11" s="4" t="n">
        <f aca="false">M7+M8+M9+M10</f>
        <v>8935807.77</v>
      </c>
      <c r="N11" s="4" t="n">
        <f aca="false">N7+N8+N9+N10</f>
        <v>6951216.92</v>
      </c>
      <c r="O11" s="4" t="n">
        <f aca="false">O7+O8+O9+O10</f>
        <v>5008900.01</v>
      </c>
      <c r="P11" s="4" t="n">
        <f aca="false">P7+P8+P9+P10</f>
        <v>3431896.38</v>
      </c>
      <c r="Q11" s="4" t="n">
        <f aca="false">Q7+Q8+Q9+Q10</f>
        <v>11012418.04</v>
      </c>
      <c r="R11" s="4" t="n">
        <f aca="false">R7+R8+R9+R10</f>
        <v>9181041.24</v>
      </c>
      <c r="S11" s="4" t="n">
        <f aca="false">S7+S8+S9+S10</f>
        <v>7684278.13</v>
      </c>
      <c r="T11" s="4" t="n">
        <f aca="false">T7+T8+T9+T10</f>
        <v>18136708.95</v>
      </c>
      <c r="U11" s="4" t="n">
        <f aca="false">U7+U8+U9+U10</f>
        <v>18140282.4</v>
      </c>
      <c r="V11" s="4" t="n">
        <f aca="false">V7+V8+V9+V10</f>
        <v>18413087.37</v>
      </c>
      <c r="W11" s="4" t="n">
        <f aca="false">W7+W8+W9+W10</f>
        <v>18817443.79</v>
      </c>
      <c r="X11" s="4" t="n">
        <f aca="false">E11</f>
        <v>10192084.18</v>
      </c>
      <c r="Y11" s="4" t="n">
        <f aca="false">Q11</f>
        <v>11012418.04</v>
      </c>
      <c r="Z11" s="4" t="n">
        <f aca="false">W11</f>
        <v>18817443.79</v>
      </c>
    </row>
    <row r="13" customFormat="false" ht="15" hidden="false" customHeight="false" outlineLevel="0" collapsed="false">
      <c r="A13" s="0" t="s">
        <v>90</v>
      </c>
      <c r="B13" s="4" t="n">
        <f aca="false">'Balance Sheet'!B7</f>
        <v>8238520.82</v>
      </c>
      <c r="C13" s="4" t="n">
        <f aca="false">'Balance Sheet'!C7</f>
        <v>8364065.55</v>
      </c>
      <c r="D13" s="4" t="n">
        <f aca="false">'Balance Sheet'!D7</f>
        <v>8968774.06</v>
      </c>
      <c r="E13" s="4" t="n">
        <f aca="false">'Balance Sheet'!E7</f>
        <v>10192084.18</v>
      </c>
      <c r="F13" s="4" t="n">
        <f aca="false">'Balance Sheet'!F7</f>
        <v>9490470.67</v>
      </c>
      <c r="G13" s="4" t="n">
        <f aca="false">'Balance Sheet'!G7</f>
        <v>9342106.58</v>
      </c>
      <c r="H13" s="4" t="n">
        <f aca="false">'Balance Sheet'!H7</f>
        <v>8319679.08</v>
      </c>
      <c r="I13" s="4" t="n">
        <f aca="false">'Balance Sheet'!I7</f>
        <v>8584491.81</v>
      </c>
      <c r="J13" s="4" t="n">
        <f aca="false">'Balance Sheet'!J7</f>
        <v>9061715.65</v>
      </c>
      <c r="K13" s="4" t="n">
        <f aca="false">'Balance Sheet'!K7</f>
        <v>8533476.07</v>
      </c>
      <c r="L13" s="4" t="n">
        <f aca="false">'Balance Sheet'!L7</f>
        <v>10150227.35</v>
      </c>
      <c r="M13" s="4" t="n">
        <f aca="false">'Balance Sheet'!M7</f>
        <v>8935807.77</v>
      </c>
      <c r="N13" s="4" t="n">
        <f aca="false">'Balance Sheet'!N7</f>
        <v>6951216.92</v>
      </c>
      <c r="O13" s="4" t="n">
        <f aca="false">'Balance Sheet'!O7</f>
        <v>5008900.01</v>
      </c>
      <c r="P13" s="4" t="n">
        <f aca="false">'Balance Sheet'!P7</f>
        <v>3431896.38</v>
      </c>
      <c r="Q13" s="4" t="n">
        <f aca="false">'Balance Sheet'!Q7</f>
        <v>11012418.04</v>
      </c>
      <c r="R13" s="4" t="n">
        <f aca="false">'Balance Sheet'!R7</f>
        <v>9181041.24</v>
      </c>
      <c r="S13" s="4" t="n">
        <f aca="false">'Balance Sheet'!S7</f>
        <v>7684278.13</v>
      </c>
      <c r="T13" s="4" t="n">
        <f aca="false">'Balance Sheet'!T7</f>
        <v>18136708.95</v>
      </c>
      <c r="U13" s="4" t="n">
        <f aca="false">'Balance Sheet'!U7</f>
        <v>18140282.4</v>
      </c>
      <c r="V13" s="4" t="n">
        <f aca="false">'Balance Sheet'!V7</f>
        <v>18413087.37</v>
      </c>
      <c r="W13" s="4" t="n">
        <f aca="false">'Balance Sheet'!W7</f>
        <v>18817443.79</v>
      </c>
      <c r="X13" s="4" t="n">
        <f aca="false">E13</f>
        <v>10192084.18</v>
      </c>
      <c r="Y13" s="4" t="n">
        <f aca="false">Q13</f>
        <v>11012418.04</v>
      </c>
      <c r="Z13" s="4" t="n">
        <f aca="false">W13</f>
        <v>18817443.79</v>
      </c>
    </row>
    <row r="14" customFormat="false" ht="15" hidden="false" customHeight="false" outlineLevel="0" collapsed="false">
      <c r="A14" s="0" t="s">
        <v>91</v>
      </c>
      <c r="B14" s="4" t="n">
        <f aca="false">B11-B13</f>
        <v>0</v>
      </c>
      <c r="C14" s="4" t="n">
        <f aca="false">C11-C13</f>
        <v>0</v>
      </c>
      <c r="D14" s="4" t="n">
        <f aca="false">D11-D13</f>
        <v>0</v>
      </c>
      <c r="E14" s="4" t="n">
        <f aca="false">E11-E13</f>
        <v>0</v>
      </c>
      <c r="F14" s="4" t="n">
        <f aca="false">F11-F13</f>
        <v>0</v>
      </c>
      <c r="G14" s="4" t="n">
        <f aca="false">G11-G13</f>
        <v>0</v>
      </c>
      <c r="H14" s="4" t="n">
        <f aca="false">H11-H13</f>
        <v>0</v>
      </c>
      <c r="I14" s="4" t="n">
        <f aca="false">I11-I13</f>
        <v>0</v>
      </c>
      <c r="J14" s="4" t="n">
        <f aca="false">J11-J13</f>
        <v>0</v>
      </c>
      <c r="K14" s="4" t="n">
        <f aca="false">K11-K13</f>
        <v>0</v>
      </c>
      <c r="L14" s="4" t="n">
        <f aca="false">L11-L13</f>
        <v>0</v>
      </c>
      <c r="M14" s="4" t="n">
        <f aca="false">M11-M13</f>
        <v>0</v>
      </c>
      <c r="N14" s="4" t="n">
        <f aca="false">N11-N13</f>
        <v>0</v>
      </c>
      <c r="O14" s="4" t="n">
        <f aca="false">O11-O13</f>
        <v>0</v>
      </c>
      <c r="P14" s="4" t="n">
        <f aca="false">P11-P13</f>
        <v>0</v>
      </c>
      <c r="Q14" s="4" t="n">
        <f aca="false">Q11-Q13</f>
        <v>0</v>
      </c>
      <c r="R14" s="4" t="n">
        <f aca="false">R11-R13</f>
        <v>0</v>
      </c>
      <c r="S14" s="4" t="n">
        <f aca="false">S11-S13</f>
        <v>0</v>
      </c>
      <c r="T14" s="4" t="n">
        <f aca="false">T11-T13</f>
        <v>0</v>
      </c>
      <c r="U14" s="4" t="n">
        <f aca="false">U11-U13</f>
        <v>0</v>
      </c>
      <c r="V14" s="4" t="n">
        <f aca="false">V11-V13</f>
        <v>0</v>
      </c>
      <c r="W14" s="4" t="n">
        <f aca="false">W11-W13</f>
        <v>0</v>
      </c>
      <c r="X14" s="4" t="n">
        <f aca="false">E14</f>
        <v>0</v>
      </c>
      <c r="Y14" s="4" t="n">
        <f aca="false">Q14</f>
        <v>0</v>
      </c>
      <c r="Z14" s="4" t="n">
        <f aca="false">W14</f>
        <v>0</v>
      </c>
    </row>
    <row r="15" customFormat="false" ht="15" hidden="false" customHeight="false" outlineLevel="0" collapsed="false">
      <c r="A15" s="0" t="s">
        <v>92</v>
      </c>
      <c r="B15" s="4" t="n">
        <f aca="false">'Income Statement'!B24</f>
        <v>1134639.62</v>
      </c>
      <c r="C15" s="4" t="n">
        <f aca="false">'Income Statement'!C24</f>
        <v>1472458.18</v>
      </c>
      <c r="D15" s="4" t="n">
        <f aca="false">'Income Statement'!D24</f>
        <v>1697871.67</v>
      </c>
      <c r="E15" s="4" t="n">
        <f aca="false">'Income Statement'!E24</f>
        <v>358381.33</v>
      </c>
      <c r="F15" s="4" t="n">
        <f aca="false">'Income Statement'!F24</f>
        <v>950185.61</v>
      </c>
      <c r="G15" s="4" t="n">
        <f aca="false">'Income Statement'!G24</f>
        <v>1083964.46</v>
      </c>
      <c r="H15" s="4" t="n">
        <f aca="false">'Income Statement'!H24</f>
        <v>1371375.89</v>
      </c>
      <c r="I15" s="4" t="n">
        <f aca="false">'Income Statement'!I24</f>
        <v>1560261.83</v>
      </c>
      <c r="J15" s="4" t="n">
        <f aca="false">'Income Statement'!J24</f>
        <v>1747980.98</v>
      </c>
      <c r="K15" s="4" t="n">
        <f aca="false">'Income Statement'!K24</f>
        <v>1896185.81</v>
      </c>
      <c r="L15" s="4" t="n">
        <f aca="false">'Income Statement'!L24</f>
        <v>-1552779.22</v>
      </c>
      <c r="M15" s="4" t="n">
        <f aca="false">'Income Statement'!M24</f>
        <v>-1774736.19</v>
      </c>
      <c r="N15" s="4" t="n">
        <f aca="false">'Income Statement'!N24</f>
        <v>-1633714.33</v>
      </c>
      <c r="O15" s="4" t="n">
        <f aca="false">'Income Statement'!O24</f>
        <v>-1382476.35</v>
      </c>
      <c r="P15" s="4" t="n">
        <f aca="false">'Income Statement'!P24</f>
        <v>-1141684.46</v>
      </c>
      <c r="Q15" s="4" t="n">
        <f aca="false">'Income Statement'!Q24</f>
        <v>-4476304.53</v>
      </c>
      <c r="R15" s="4" t="n">
        <f aca="false">'Income Statement'!R24</f>
        <v>-2192161.54</v>
      </c>
      <c r="S15" s="4" t="n">
        <f aca="false">'Income Statement'!S24</f>
        <v>-2072275.66</v>
      </c>
      <c r="T15" s="4" t="n">
        <f aca="false">'Income Statement'!T24</f>
        <v>-3578483.21</v>
      </c>
      <c r="U15" s="4" t="n">
        <f aca="false">'Income Statement'!U24</f>
        <v>-361830.68</v>
      </c>
      <c r="V15" s="4" t="n">
        <f aca="false">'Income Statement'!V24</f>
        <v>-205361.620000001</v>
      </c>
      <c r="W15" s="4" t="n">
        <f aca="false">'Income Statement'!W24</f>
        <v>84810.6900000005</v>
      </c>
      <c r="X15" s="4" t="n">
        <f aca="false">SUM(B15:E15)</f>
        <v>4663350.8</v>
      </c>
      <c r="Y15" s="4" t="n">
        <f aca="false">SUM(F15:Q15)</f>
        <v>-3351740.5</v>
      </c>
      <c r="Z15" s="4" t="n">
        <f aca="false">SUM(R15:W15)</f>
        <v>-8325302.02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40"/>
  </cols>
  <sheetData>
    <row r="1" customFormat="false" ht="23.85" hidden="false" customHeight="false" outlineLevel="0" collapsed="false">
      <c r="A1" s="1" t="s">
        <v>93</v>
      </c>
      <c r="B1" s="5" t="s">
        <v>94</v>
      </c>
    </row>
    <row r="2" customFormat="false" ht="23.85" hidden="false" customHeight="false" outlineLevel="0" collapsed="false">
      <c r="A2" s="1" t="s">
        <v>95</v>
      </c>
      <c r="B2" s="5" t="s">
        <v>96</v>
      </c>
    </row>
    <row r="3" customFormat="false" ht="46.25" hidden="false" customHeight="false" outlineLevel="0" collapsed="false">
      <c r="A3" s="1" t="s">
        <v>97</v>
      </c>
      <c r="B3" s="5" t="s">
        <v>98</v>
      </c>
    </row>
    <row r="4" customFormat="false" ht="23.85" hidden="false" customHeight="false" outlineLevel="0" collapsed="false">
      <c r="A4" s="1" t="s">
        <v>99</v>
      </c>
      <c r="B4" s="5" t="s">
        <v>100</v>
      </c>
    </row>
    <row r="5" customFormat="false" ht="46.25" hidden="false" customHeight="false" outlineLevel="0" collapsed="false">
      <c r="A5" s="1" t="s">
        <v>101</v>
      </c>
      <c r="B5" s="5" t="s">
        <v>102</v>
      </c>
    </row>
    <row r="6" customFormat="false" ht="46.25" hidden="false" customHeight="false" outlineLevel="0" collapsed="false">
      <c r="A6" s="1" t="s">
        <v>103</v>
      </c>
      <c r="B6" s="5" t="s">
        <v>104</v>
      </c>
    </row>
    <row r="7" customFormat="false" ht="68.65" hidden="false" customHeight="false" outlineLevel="0" collapsed="false">
      <c r="A7" s="1" t="s">
        <v>105</v>
      </c>
      <c r="B7" s="5" t="s">
        <v>106</v>
      </c>
    </row>
    <row r="8" customFormat="false" ht="46.25" hidden="false" customHeight="false" outlineLevel="0" collapsed="false">
      <c r="A8" s="1" t="s">
        <v>107</v>
      </c>
      <c r="B8" s="5" t="s">
        <v>108</v>
      </c>
    </row>
    <row r="9" customFormat="false" ht="57.45" hidden="false" customHeight="false" outlineLevel="0" collapsed="false">
      <c r="A9" s="1" t="s">
        <v>109</v>
      </c>
      <c r="B9" s="5" t="s">
        <v>110</v>
      </c>
    </row>
    <row r="10" customFormat="false" ht="147" hidden="false" customHeight="false" outlineLevel="0" collapsed="false">
      <c r="A10" s="1" t="s">
        <v>111</v>
      </c>
      <c r="B10" s="5" t="s">
        <v>112</v>
      </c>
    </row>
    <row r="11" customFormat="false" ht="46.25" hidden="false" customHeight="false" outlineLevel="0" collapsed="false">
      <c r="A11" s="1" t="s">
        <v>113</v>
      </c>
      <c r="B11" s="5" t="s">
        <v>114</v>
      </c>
    </row>
    <row r="12" customFormat="false" ht="35.05" hidden="false" customHeight="false" outlineLevel="0" collapsed="false">
      <c r="A12" s="1" t="s">
        <v>115</v>
      </c>
      <c r="B12" s="5" t="s">
        <v>116</v>
      </c>
    </row>
    <row r="13" customFormat="false" ht="113.4" hidden="false" customHeight="false" outlineLevel="0" collapsed="false">
      <c r="A13" s="1" t="s">
        <v>117</v>
      </c>
      <c r="B13" s="5" t="s">
        <v>118</v>
      </c>
    </row>
    <row r="14" customFormat="false" ht="68.65" hidden="false" customHeight="false" outlineLevel="0" collapsed="false">
      <c r="A14" s="1" t="s">
        <v>119</v>
      </c>
      <c r="B14" s="5" t="s">
        <v>120</v>
      </c>
    </row>
    <row r="15" customFormat="false" ht="68.65" hidden="false" customHeight="false" outlineLevel="0" collapsed="false">
      <c r="A15" s="1" t="s">
        <v>121</v>
      </c>
      <c r="B15" s="5" t="s">
        <v>122</v>
      </c>
    </row>
    <row r="16" customFormat="false" ht="23.85" hidden="false" customHeight="false" outlineLevel="0" collapsed="false">
      <c r="A16" s="1" t="s">
        <v>123</v>
      </c>
      <c r="B16" s="5" t="s">
        <v>124</v>
      </c>
    </row>
    <row r="17" customFormat="false" ht="46.25" hidden="false" customHeight="false" outlineLevel="0" collapsed="false">
      <c r="A17" s="1" t="s">
        <v>125</v>
      </c>
      <c r="B17" s="5" t="s">
        <v>126</v>
      </c>
    </row>
    <row r="18" customFormat="false" ht="23.85" hidden="false" customHeight="false" outlineLevel="0" collapsed="false">
      <c r="A18" s="1" t="s">
        <v>127</v>
      </c>
      <c r="B18" s="5"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2026-09-15T07:13:30Z</dcterms:created>
  <dc:creator>openpyxl</dc:creator>
  <dc:description/>
  <dc:language>en-US</dc:language>
  <cp:lastModifiedBy/>
  <dcterms:modified xsi:type="dcterms:W3CDTF">2026-09-15T07:13:30Z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
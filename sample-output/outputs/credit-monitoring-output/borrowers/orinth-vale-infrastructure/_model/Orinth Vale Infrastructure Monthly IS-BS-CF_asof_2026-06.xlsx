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  <sheet name="Sources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<sst xmlns="http://schemas.openxmlformats.org/spreadsheetml/2006/main" count="176" uniqueCount="121">
  <si>
    <t xml:space="preserve">Orinth Vale Infrastructure, LLC | Detailed Income Statement</t>
  </si>
  <si>
    <t xml:space="preserve">Company-prepared monthly reporting package | USD (whole dollars) | Unaudited | Source: borrower Monthly Reporting Package ('a.xlsx'), 'Income Statement' tab</t>
  </si>
  <si>
    <t xml:space="preserve">Account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</si>
  <si>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</si>
  <si>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</si>
  <si>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</si>
  <si>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</si>
  <si>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</si>
  <si>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</si>
  <si>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</si>
  <si>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</si>
  <si>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</si>
  <si>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</si>
  <si>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</si>
  <si>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</si>
  <si>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</si>
  <si>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</si>
  <si>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</si>
  <si>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</si>
  <si>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</si>
  <si>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</si>
  <si>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</si>
  <si>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</si>
  <si>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</si>
  <si>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</si>
  <si>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FY2024 (Sep-Dec, partial)</t>
  </si>
  <si>
    <t xml:space="preserve">FY2025</t>
  </si>
  <si>
    <t xml:space="preserve">2026 YTD (Jan-Jun)</t>
  </si>
  <si>
    <t xml:space="preserve">Revenue</t>
  </si>
  <si>
    <t xml:space="preserve">Costs</t>
  </si>
  <si>
    <t xml:space="preserve">Operating Expenses</t>
  </si>
  <si>
    <t xml:space="preserve">EBITDA</t>
  </si>
  <si>
    <t xml:space="preserve">Gross Profit</t>
  </si>
  <si>
    <t xml:space="preserve">Depreciation and Amortization</t>
  </si>
  <si>
    <t xml:space="preserve">Operating Income</t>
  </si>
  <si>
    <t xml:space="preserve">Cash Interest</t>
  </si>
  <si>
    <t xml:space="preserve">Interest Expense</t>
  </si>
  <si>
    <t xml:space="preserve">Income Before Taxes</t>
  </si>
  <si>
    <t xml:space="preserve">Income Tax Expense</t>
  </si>
  <si>
    <t xml:space="preserve">Net Income</t>
  </si>
  <si>
    <t xml:space="preserve">Deferred Financing Fee Amortization</t>
  </si>
  <si>
    <t xml:space="preserve">Orinth Vale Infrastructure, LLC | Detailed Balance Sheet</t>
  </si>
  <si>
    <t xml:space="preserve">Company-prepared monthly reporting package | USD (whole dollars) | Unaudited | Source: borrower Monthly Reporting Package ('a.xlsx'), 'Balance Sheet' tab</t>
  </si>
  <si>
    <t xml:space="preserve">Cash</t>
  </si>
  <si>
    <t xml:space="preserve">Accounts Receivable</t>
  </si>
  <si>
    <t xml:space="preserve">Inventory</t>
  </si>
  <si>
    <t xml:space="preserve">Net Property and Equipment</t>
  </si>
  <si>
    <t xml:space="preserve">Deferred Financing Fees</t>
  </si>
  <si>
    <t xml:space="preserve">Other Assets</t>
  </si>
  <si>
    <t xml:space="preserve">Total Assets</t>
  </si>
  <si>
    <t xml:space="preserve">Gross Property and Equipment</t>
  </si>
  <si>
    <t xml:space="preserve">Accumulated Depreciation</t>
  </si>
  <si>
    <t xml:space="preserve">Trade Accounts Payable</t>
  </si>
  <si>
    <t xml:space="preserve">Accrued Expenses</t>
  </si>
  <si>
    <t xml:space="preserve">Other Current Liabilities</t>
  </si>
  <si>
    <t xml:space="preserve">Accounts Payable and Accruals</t>
  </si>
  <si>
    <t xml:space="preserve">Funded Debt</t>
  </si>
  <si>
    <t xml:space="preserve">Total Liabilities</t>
  </si>
  <si>
    <t xml:space="preserve">Equity</t>
  </si>
  <si>
    <t xml:space="preserve">Liabilities + Equity</t>
  </si>
  <si>
    <t xml:space="preserve">Balance Check (Total Assets - Liabilities + Equity)</t>
  </si>
  <si>
    <t xml:space="preserve">DEBT &amp; COVENANT (borrower-certified roll-forward; source: Debt &amp; Covenant tab)</t>
  </si>
  <si>
    <t xml:space="preserve">Beginning Debt</t>
  </si>
  <si>
    <t xml:space="preserve">Draws</t>
  </si>
  <si>
    <t xml:space="preserve">PIK</t>
  </si>
  <si>
    <t xml:space="preserve">Repayments</t>
  </si>
  <si>
    <t xml:space="preserve">Ending Debt</t>
  </si>
  <si>
    <t xml:space="preserve">Deferred Fee Amortization</t>
  </si>
  <si>
    <t xml:space="preserve">TTM Covenant EBITDA</t>
  </si>
  <si>
    <t xml:space="preserve">Total Leverage Ratio</t>
  </si>
  <si>
    <t xml:space="preserve">Maximum Covenant</t>
  </si>
  <si>
    <t xml:space="preserve">Monthly Principal Rate</t>
  </si>
  <si>
    <t xml:space="preserve">COVENANT-SUPPORT ROWS (facility Fixed-Charges inputs; source noted per row below)</t>
  </si>
  <si>
    <t xml:space="preserve">Cash Interest Expense</t>
  </si>
  <si>
    <t xml:space="preserve">Scheduled Debt Principal Payments</t>
  </si>
  <si>
    <t xml:space="preserve">Orinth Vale Infrastructure, LLC | Detailed Cash Flow Statement (as reported)</t>
  </si>
  <si>
    <t xml:space="preserve">Company-prepared monthly reporting package | USD (whole dollars) | Unaudited | Source: borrower Monthly Reporting Package ('a.xlsx'), 'Cash Flow' tab</t>
  </si>
  <si>
    <t xml:space="preserve">Beginning Cash</t>
  </si>
  <si>
    <t xml:space="preserve">Cash Flow Change</t>
  </si>
  <si>
    <t xml:space="preserve">Ending Cash</t>
  </si>
  <si>
    <t xml:space="preserve">Net Cash from Operating Activities</t>
  </si>
  <si>
    <t xml:space="preserve">Working Capital Investment</t>
  </si>
  <si>
    <t xml:space="preserve">Cash Taxes</t>
  </si>
  <si>
    <t xml:space="preserve">Capital Expenditures</t>
  </si>
  <si>
    <t xml:space="preserve">Net Cash from Investing Activities</t>
  </si>
  <si>
    <t xml:space="preserve">Net Cash from Financing Activities</t>
  </si>
  <si>
    <t xml:space="preserve">Memo: Cash per Balance Sheet</t>
  </si>
  <si>
    <t xml:space="preserve">Memo: CF-vs-BS cash tie (diff, should be 0)</t>
  </si>
  <si>
    <t xml:space="preserve">Memo: CF EBITDA vs IS EBITDA tie (diff, should be 0)</t>
  </si>
  <si>
    <t xml:space="preserve">Entity</t>
  </si>
  <si>
    <t xml:space="preserve">Orinth Vale Infrastructure, LLC (consolidated) -- borrower-config model.entity='consolidated'. No separate divisional/subsidiary consolidation levels are shown anywhere in the reporting package.</t>
  </si>
  <si>
    <t xml:space="preserve">Units</t>
  </si>
  <si>
    <t xml:space="preserve">USD, whole dollars (model.scale = 1). Borrower's own package states 'USD | internally titled source'; cross-checked against the executed Credit Agreement's pro forma leverage math and the FY2024 annual statements (borrower-config.json model._scale_verification) -- all consistent at whole-dollar scale.</t>
  </si>
  <si>
    <t xml:space="preserve">Basis</t>
  </si>
  <si>
    <t xml:space="preserve">Actuals only -- company-prepared monthly reporting package ('a.xlsx'), unaudited. No proforma/budget/forecast figures included. Each month's a.xlsx carries a single data column for that month (not a rolling multi-month window), so all 22 months were assembled from 22 separate monthly files.</t>
  </si>
  <si>
    <t xml:space="preserve">Coverage</t>
  </si>
  <si>
    <t xml:space="preserve">Sep 2024 through Jun 2026 (22 months), matching every monthly subfolder present in 04 Reporting/Period Archive, continuous, no gaps. The credit facility (Orinth Vale 2025 Senior Secured Facility) closed 2025-01-15, so Sep-Dec 2024 (4 months) predate it and carry a predecessor/legacy debt balance instead.</t>
  </si>
  <si>
    <t xml:space="preserve">Source files</t>
  </si>
  <si>
    <t xml:space="preserve">Every Income Statement / Balance Sheet / Cash Flow figure for month M is sourced from 04 Reporting/Period Archive/&lt;YYYY&gt;/&lt;MM&gt;/a.xlsx, which bundles Income Statement, Balance Sheet, Cash Flow and Debt &amp; Covenant as four tabs in ONE workbook per month (confirmed non-generic despite the filename 'a.xlsx' -- re-verified independently across all 22 months, not just the 6 the prior monitor-setup/covenant-setup passes sampled: identical sheet set and identical row-label sequence in every month, zero letter-drift or schema drift found). 'b.xlsx' (AR/AP aging, bucketed) and 'c.xlsx' (Channel Detail, revenue by service line) are separate supplemental files consumed by other modules (ap-ar-aging) and are NOT part of this IS/BS/CF model, per borrower-config.json's own a/b/c mapping note.</t>
  </si>
  <si>
    <t xml:space="preserve">Restatement scan</t>
  </si>
  <si>
    <t xml:space="preserve">Full restatement scan performed: this is a from-scratch build (no prior canonical model existed). Each of the 22 monthly a.xlsx files is the ONLY package covering its own month within 04 Reporting/Period Archive -- no overlapping/consolidated by-month or YTD file exists there. The only other candidate source, 04 Reporting/2026/Q2/June Close/ (qtd-view.xls + monthly-detail.xlsx), was independently re-checked and its June 2026 Revenue/Costs/EBITDA/Debt figures tie EXACTLY to Period Archive/2026/06/a.xlsx -- confirming it is a convenience re-export of the same underlying data, not an independent or restated source; it was excluded (per borrower-config.json's own note) and contributes no restatement. Zero restatements found; restatements.json is an empty array.</t>
  </si>
  <si>
    <t xml:space="preserve">Independent tie-out sweep (this build)</t>
  </si>
  <si>
    <t xml:space="preserve">Beyond label/structure verification, every one of the following identities was checked and confirmed EXACT (no material variance) across all 22 months, not just June 2026: Revenue-Costs=Gross Profit; Revenue-Costs-OpEx=EBITDA; EBITDA-D&amp;A=Operating Income; Cash Interest+Deferred Financing Fee Amortization=Interest Expense; Operating Income-Interest Expense=Income Before Taxes; Income Before Taxes-Income Tax Expense=Net Income; Net Income+Interest Expense+Income Tax Expense+D&amp;A=EBITDA (the full bridge); Total Assets=sum of asset lines; Gross PP&amp;E+Accumulated Depreciation=Net PP&amp;E; Trade AP+Accrued Expenses+Other Current Liabilities=Accounts Payable and Accruals; Total Liabilities+Equity=Total Assets (balance check=0 every month); Cash Flow ties to both Balance Sheet cash (Ending Cash=BS Cash) and Income Statement EBITDA (CF EBITDA=IS EBITDA) every month; Beginning Debt(t)=Ending Debt(t-1) and Beginning Cash(t)=Ending Cash(t-1) hold continuously across the full 22-month run (i.e. no gap or restatement break at any month boundary); Repayments = 0.60% of that month's own Beginning Debt (the agreement's stated monthly amortization rate) every month. The single exception found: Jan 2025's 'Net Cash from Financing Activities' ($8,607,835.66) does NOT equal -Repayments -- expected, because Jan 2025 is the facility-closing/refinancing month (new $65,360,723.38 term loan proceeds settling the legacy debt payoff), a genuine one-time capital-structure event, not a data error; that row is carried as its own independently-reported figure (not derived by formula) for this reason.</t>
  </si>
  <si>
    <t xml:space="preserve">Cash Flow</t>
  </si>
  <si>
    <t xml:space="preserve">As-reported from the borrower's own 'Cash Flow' tab (not derived) -- the borrower delivers a full Operating/Investing/Financing cash flow every month. 'Net Cash from Operating Activities' is written as a live formula (EBITDA - Working Capital Investment - Cash Taxes - Cash Interest) which ties the reported figure exactly every month; 'Net Cash from Investing Activities' = Capital Expenditures (the only investing line); 'Net Cash from Financing Activities' is carried as its own reported figure (see the Jan 2025 exception above). Memo rows cross-check CF-vs-BS cash and CF-vs-IS EBITDA; both tie to 0 in every month.</t>
  </si>
  <si>
    <t xml:space="preserve">EBITDA bridge</t>
  </si>
  <si>
    <t xml:space="preserve">Per covenant-spec.json#/definitions/Covenant_EBITDA, compute.ebitda_bridge = 'EBITDA' -- the model's own single native monthly Income Statement row, bound via borrower-config.json model_lines.ebitda_bridge. Covenant-spec.json's own independent verification (5 non-adjacent months, 2025-01 through 2026-06) found the certified quarterly Covenant Calculation.xlsx TTM Detail's per-month 'Covenant EBITDA' figures tie EXACTLY to this model's monthly EBITDA row -- confirmed again here for June 2026 (2,290,659.16) as part of this build. No add-back gap; no deemed-EBITDA schedule (a full-text sweep of all 9 executed closing documents found zero 'deemed'/'stipulated'/'agreed EBITDA' hits -- this is a refinancing, not an LBO/acquisition financing with a pre-close target-EBITDA table). This is a NOT PROVISIONAL bridge (a validated covenant-spec.json exists and EBITDA ties exactly).</t>
  </si>
  <si>
    <t xml:space="preserve">Pre-archive TTM history gap</t>
  </si>
  <si>
    <t xml:space="preserve">covenant-spec.json flags that the certified TTM Detail for the 2025-03-31 and 2025-06-30 covenant tests needs monthly Covenant EBITDA back to 2024-04 and 2024-07 respectively, both of which predate this model's earliest month (2024-09) by 5 and 2 months. Those pre-archive months are genuine organic historical actuals the certifier sourced outside 04 Reporting/Period Archive, not a contractual override -- this model was built from 2024-09 forward as instructed; downstream TTM-based reads may show 'insufficient history' for test dates before 2025-09-30, which is expected and not a build defect. 'TTM Covenant EBITDA' on the Debt &amp; Covenant roll-forward below is carried as the borrower's own certified figure for every month (not recomputed as a trailing-12 SUM of this model's own EBITDA row), because a from-model SUM would be wrong (understated) for any month before 2025-09 that lacks a full 12 months of in-model history; for months from 2025-09 onward, the certified figure was independently verified to equal the exact trailing-12-month SUM of this model's own EBITDA row (spot-checked June 2026: sum of Jul 2025-Jun 2026 EBITDA = $24,529,022.34 = the certified TTM figure, exact).</t>
  </si>
  <si>
    <t xml:space="preserve">Debt &amp; Covenant roll-forward (Balance Sheet, below the balance-check row)</t>
  </si>
  <si>
    <t xml:space="preserve">Reproduces the borrower's own monthly 'Debt &amp; Covenant' tab (Beginning Debt, Draws, PIK, Repayments, Ending Debt, Cash Interest, Deferred Fee Amortization, TTM Covenant EBITDA, Total Leverage Ratio, Maximum Covenant, Monthly Principal Rate) -- a self-consistent monthly roll-forward, present in EVERY month's a.xlsx (not just quarter-ends). Ending Debt ties exactly to the Balance Sheet's own 'Funded Debt' line every month, and Total Leverage Ratio / TTM Covenant EBITDA tie exactly to the certified quarterly Covenant Calculation.xlsx (06 Monitoring/Portfolio Management/&lt;YYYY Qn&gt;/) at all 6 quarters checked (2025 Q1 through 2026 Q2).</t>
  </si>
  <si>
    <t xml:space="preserve">Predecessor debt / refinancing</t>
  </si>
  <si>
    <t xml:space="preserve">The Balance Sheet's 'Funded Debt' / Debt &amp; Covenant roll-forward shows a CONTINUOUS balance and 0.60%-of-beginning-balance monthly amortization from Sep 2024 (predecessor/legacy debt, $66,953,195.96 beginning balance) through the executed Credit Agreement's Jan 15, 2025 closing, at which point the new $65,360,723.38 facility funded at EXACTLY the legacy debt's Dec 2024 ending balance ($65,360,723.38) -- a dollar-for-dollar refinancing, consistent with the Credit Agreement's own statement that the term loan 'is fully funded at closing to refinance legacy debt.'</t>
  </si>
  <si>
    <t xml:space="preserve">Covenant-support rows (below the roll-forward)</t>
  </si>
  <si>
    <t xml:space="preserve">'Cash Interest Expense' and 'Scheduled Debt Principal Payments' are the two rows debt-service-spec.json's covenant_support_rows names for future Fixed-Charges/coverage-covenant inputs (this facility's only current financial covenant, Maximum Total Leverage Ratio, is a leverage test, not a coverage test, so no covenant-spec definition currently reads these two rows -- captured for a future amendment per debt-service-spec.json's own note). IMPORTANT DEVIATION FROM THE BUILD BRIEF, FOUND ON INDEPENDENT VERIFICATION: the brief's Critical Build Note #3 expected these figures to come from the certified quarterly Covenant Calculation.xlsx (06 Monitoring/Portfolio Management/&lt;YYYY Qn&gt;/), interpolating between quarters. On inspection, that file (both its 'Summary' and 'TTM Detail' tabs, all 6 quarters 2025 Q1-2026 Q2) carries ONLY Funded Debt / TTM Covenant EBITDA / Total Leverage Ratio / Maximum / Status -- it has NO cash-interest or scheduled-principal line at all (this facility has no Fixed-Charges covenant, so the certificate was never built to carry one). The generated debt-service-schedule.json was also independently confirmed unusable for these two figures: debt-service-spec.json's own amortization_base and day_count sections document, and this build's own tie-out sweep re-confirms, that the schedule's flat-original-principal-base amortization and actual/360 day-count do NOT reproduce the borrower's certified monthly figures (the borrower uses a declining-balance 0.60%-of-beginning-debt amortization and an implied flat monthly-equivalent rate, not a day-count convention) -- the gap widens every month and would be materially wrong even in ordinary non-stub months. The best available certified-equivalent monthly source is instead each month's own a.xlsx 'Debt &amp; Covenant' tab ('Cash Interest' and 'Repayments'), delivered every month (not just quarterly) and verified to reconcile exactly to the 0.60%-of-beginning-debt contractual formula for every month checked -- so it was used directly, with NO interpolation or hold-flat convention needed (a monthly-native source removes the need for one). 'Cash Interest Expense' = that month's Debt &amp; Covenant 'Cash Interest' (a live formula reference for facility months); 'Scheduled Debt Principal Payments' = that month's Debt &amp; Covenant 'Repayments' (a live formula reference for facility months). Sep-Dec 2024 (before the facility's Jan 15, 2025 closing) are hardcoded 0 for BOTH rows -- a contractual fact (the facility did not exist yet), not a blank, per assembling-rules.md, even though the roll-forward above carries real predecessor-debt Cash Interest/Repayments figures for those months. JUDGMENT CALL flagged for the analyst: this substitutes a more granular, monthly, directly-tying source for the quarterly-certificate-with-interpolation the brief specified, because the named certificate does not carry these figures at all; the alternative reading (following the brief literally) would leave both covenant-support rows entirely unpopulated, since Covenant Calculation.xlsx has nothing to interpolate.</t>
  </si>
  <si>
    <t xml:space="preserve">Materiality threshold (pinned)</t>
  </si>
  <si>
    <t xml:space="preserve">Restatement / tie-out materiality threshold: the greater of $25,000 or 1% of the line, per assembling-rules.md standard. (Not triggered this build -- zero restatements found, and the independent tie-out sweep found no variance requiring drill-down.)</t>
  </si>
  <si>
    <t xml:space="preserve">Validation</t>
  </si>
  <si>
    <t xml:space="preserve">Balance sheet balances every month (Balance Check row = 0). Income-statement subtotals foot (Gross Profit, EBITDA, Operating Income, Income Before Taxes, Net Income all derive correctly from detail lines, and the full Net Income+Interest+Tax+D&amp;A=EBITDA bridge ties exactly). Cash Flow ties to both the Balance Sheet (Ending Cash=BS Cash) and Income Statement (CF EBITDA=IS EBITDA) by construction/formula. Full source-leaf detail is carried (no lines dropped or summarized).</t>
  </si>
  <si>
    <t xml:space="preserve">Build tool / recalc</t>
  </si>
  <si>
    <t xml:space="preserve">Built with openpyxl; formula cells recalculated (cached values populated) via headless LibreOffice as the LAST write, per assembling-rules.md. Gated with references/validate_model.py before becoming canonical.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</si>
</sst>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\x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6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6" customFormat="false" ht="15" hidden="false" customHeight="false" outlineLevel="0" collapsed="false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</row>
    <row r="7" customFormat="false" ht="15" hidden="false" customHeight="false" outlineLevel="0" collapsed="false">
      <c r="A7" s="0" t="s">
        <v>28</v>
      </c>
      <c r="B7" s="2" t="n">
        <v>10710056.81</v>
      </c>
      <c r="C7" s="2" t="n">
        <v>11113874.05</v>
      </c>
      <c r="D7" s="2" t="n">
        <v>11701769.27</v>
      </c>
      <c r="E7" s="2" t="n">
        <v>10057219.08</v>
      </c>
      <c r="F7" s="2" t="n">
        <v>10690856.14</v>
      </c>
      <c r="G7" s="2" t="n">
        <v>11205301.08</v>
      </c>
      <c r="H7" s="2" t="n">
        <v>11462285.47</v>
      </c>
      <c r="I7" s="2" t="n">
        <v>11958408.78</v>
      </c>
      <c r="J7" s="2" t="n">
        <v>12282541.48</v>
      </c>
      <c r="K7" s="2" t="n">
        <v>12398894.76</v>
      </c>
      <c r="L7" s="2" t="n">
        <v>12326248.9</v>
      </c>
      <c r="M7" s="2" t="n">
        <v>11512677.66</v>
      </c>
      <c r="N7" s="2" t="n">
        <v>12131435.17</v>
      </c>
      <c r="O7" s="2" t="n">
        <v>12640827.59</v>
      </c>
      <c r="P7" s="2" t="n">
        <v>12905596.58</v>
      </c>
      <c r="Q7" s="2" t="n">
        <v>10990543.89</v>
      </c>
      <c r="R7" s="2" t="n">
        <v>11420986.73</v>
      </c>
      <c r="S7" s="2" t="n">
        <v>11814061.77</v>
      </c>
      <c r="T7" s="2" t="n">
        <v>12062474.46</v>
      </c>
      <c r="U7" s="2" t="n">
        <v>12174838.58</v>
      </c>
      <c r="V7" s="2" t="n">
        <v>12402932.58</v>
      </c>
      <c r="W7" s="2" t="n">
        <v>13161734.09</v>
      </c>
      <c r="X7" s="3" t="n">
        <f aca="false">SUM(B7:E7)</f>
        <v>43582919.21</v>
      </c>
      <c r="Y7" s="3" t="n">
        <f aca="false">SUM(F7:Q7)</f>
        <v>142505617.5</v>
      </c>
      <c r="Z7" s="3" t="n">
        <f aca="false">SUM(R7:W7)</f>
        <v>73037028.21</v>
      </c>
    </row>
    <row r="8" customFormat="false" ht="15" hidden="false" customHeight="false" outlineLevel="0" collapsed="false">
      <c r="A8" s="0" t="s">
        <v>29</v>
      </c>
      <c r="B8" s="2" t="n">
        <v>5908738.34</v>
      </c>
      <c r="C8" s="2" t="n">
        <v>6077066.33</v>
      </c>
      <c r="D8" s="2" t="n">
        <v>6221830.72</v>
      </c>
      <c r="E8" s="2" t="n">
        <v>5421846.81</v>
      </c>
      <c r="F8" s="2" t="n">
        <v>5789098.6</v>
      </c>
      <c r="G8" s="2" t="n">
        <v>6023969.86</v>
      </c>
      <c r="H8" s="2" t="n">
        <v>6242360.67</v>
      </c>
      <c r="I8" s="2" t="n">
        <v>6386986.13</v>
      </c>
      <c r="J8" s="2" t="n">
        <v>6604322.55</v>
      </c>
      <c r="K8" s="2" t="n">
        <v>6792114.55</v>
      </c>
      <c r="L8" s="2" t="n">
        <v>6864488.01</v>
      </c>
      <c r="M8" s="2" t="n">
        <v>6229509.88</v>
      </c>
      <c r="N8" s="2" t="n">
        <v>6634681.89</v>
      </c>
      <c r="O8" s="2" t="n">
        <v>6973944.58</v>
      </c>
      <c r="P8" s="2" t="n">
        <v>7086463.08</v>
      </c>
      <c r="Q8" s="2" t="n">
        <v>5849167.46</v>
      </c>
      <c r="R8" s="2" t="n">
        <v>6199311.6</v>
      </c>
      <c r="S8" s="2" t="n">
        <v>6417398.35</v>
      </c>
      <c r="T8" s="2" t="n">
        <v>6692260.83</v>
      </c>
      <c r="U8" s="2" t="n">
        <v>6828866.96</v>
      </c>
      <c r="V8" s="2" t="n">
        <v>6759598.26</v>
      </c>
      <c r="W8" s="2" t="n">
        <v>7253431.66</v>
      </c>
      <c r="X8" s="3" t="n">
        <f aca="false">SUM(B8:E8)</f>
        <v>23629482.2</v>
      </c>
      <c r="Y8" s="3" t="n">
        <f aca="false">SUM(F8:Q8)</f>
        <v>77477107.26</v>
      </c>
      <c r="Z8" s="3" t="n">
        <f aca="false">SUM(R8:W8)</f>
        <v>40150867.66</v>
      </c>
    </row>
    <row r="9" customFormat="false" ht="15" hidden="false" customHeight="false" outlineLevel="0" collapsed="false">
      <c r="A9" s="0" t="s">
        <v>30</v>
      </c>
      <c r="B9" s="2" t="n">
        <v>3274408.45</v>
      </c>
      <c r="C9" s="2" t="n">
        <v>3255942.37</v>
      </c>
      <c r="D9" s="2" t="n">
        <v>3375747.95</v>
      </c>
      <c r="E9" s="2" t="n">
        <v>3183011.17</v>
      </c>
      <c r="F9" s="2" t="n">
        <v>3196719.86</v>
      </c>
      <c r="G9" s="2" t="n">
        <v>3306242.4</v>
      </c>
      <c r="H9" s="2" t="n">
        <v>3379720.47</v>
      </c>
      <c r="I9" s="2" t="n">
        <v>3374177.23</v>
      </c>
      <c r="J9" s="2" t="n">
        <v>3457056.06</v>
      </c>
      <c r="K9" s="2" t="n">
        <v>3510845.77</v>
      </c>
      <c r="L9" s="2" t="n">
        <v>3425674.85</v>
      </c>
      <c r="M9" s="2" t="n">
        <v>3349275.12</v>
      </c>
      <c r="N9" s="2" t="n">
        <v>3473401.42</v>
      </c>
      <c r="O9" s="2" t="n">
        <v>3469715.86</v>
      </c>
      <c r="P9" s="2" t="n">
        <v>3544283.77</v>
      </c>
      <c r="Q9" s="2" t="n">
        <v>3313676.64</v>
      </c>
      <c r="R9" s="2" t="n">
        <v>3298938.14</v>
      </c>
      <c r="S9" s="2" t="n">
        <v>3391468.9</v>
      </c>
      <c r="T9" s="2" t="n">
        <v>3463746.92</v>
      </c>
      <c r="U9" s="2" t="n">
        <v>3404477.4</v>
      </c>
      <c r="V9" s="2" t="n">
        <v>3473910.81</v>
      </c>
      <c r="W9" s="2" t="n">
        <v>3617643.27</v>
      </c>
      <c r="X9" s="3" t="n">
        <f aca="false">SUM(B9:E9)</f>
        <v>13089109.94</v>
      </c>
      <c r="Y9" s="3" t="n">
        <f aca="false">SUM(F9:Q9)</f>
        <v>40800789.45</v>
      </c>
      <c r="Z9" s="3" t="n">
        <f aca="false">SUM(R9:W9)</f>
        <v>20650185.44</v>
      </c>
    </row>
    <row r="10" customFormat="false" ht="15" hidden="false" customHeight="false" outlineLevel="0" collapsed="false">
      <c r="A10" s="1" t="s">
        <v>31</v>
      </c>
      <c r="B10" s="3" t="n">
        <f aca="false">B7-B8-B9</f>
        <v>1526910.02</v>
      </c>
      <c r="C10" s="3" t="n">
        <f aca="false">C7-C8-C9</f>
        <v>1780865.35</v>
      </c>
      <c r="D10" s="3" t="n">
        <f aca="false">D7-D8-D9</f>
        <v>2104190.6</v>
      </c>
      <c r="E10" s="3" t="n">
        <f aca="false">E7-E8-E9</f>
        <v>1452361.1</v>
      </c>
      <c r="F10" s="3" t="n">
        <f aca="false">F7-F8-F9</f>
        <v>1705037.68</v>
      </c>
      <c r="G10" s="3" t="n">
        <f aca="false">G7-G8-G9</f>
        <v>1875088.82</v>
      </c>
      <c r="H10" s="3" t="n">
        <f aca="false">H7-H8-H9</f>
        <v>1840204.33</v>
      </c>
      <c r="I10" s="3" t="n">
        <f aca="false">I7-I8-I9</f>
        <v>2197245.42</v>
      </c>
      <c r="J10" s="3" t="n">
        <f aca="false">J7-J8-J9</f>
        <v>2221162.87</v>
      </c>
      <c r="K10" s="3" t="n">
        <f aca="false">K7-K8-K9</f>
        <v>2095934.44</v>
      </c>
      <c r="L10" s="3" t="n">
        <f aca="false">L7-L8-L9</f>
        <v>2036086.04</v>
      </c>
      <c r="M10" s="3" t="n">
        <f aca="false">M7-M8-M9</f>
        <v>1933892.66</v>
      </c>
      <c r="N10" s="3" t="n">
        <f aca="false">N7-N8-N9</f>
        <v>2023351.86</v>
      </c>
      <c r="O10" s="3" t="n">
        <f aca="false">O7-O8-O9</f>
        <v>2197167.15</v>
      </c>
      <c r="P10" s="3" t="n">
        <f aca="false">P7-P8-P9</f>
        <v>2274849.73</v>
      </c>
      <c r="Q10" s="3" t="n">
        <f aca="false">Q7-Q8-Q9</f>
        <v>1827699.79</v>
      </c>
      <c r="R10" s="3" t="n">
        <f aca="false">R7-R8-R9</f>
        <v>1922736.99</v>
      </c>
      <c r="S10" s="3" t="n">
        <f aca="false">S7-S8-S9</f>
        <v>2005194.52</v>
      </c>
      <c r="T10" s="3" t="n">
        <f aca="false">T7-T8-T9</f>
        <v>1906466.71</v>
      </c>
      <c r="U10" s="3" t="n">
        <f aca="false">U7-U8-U9</f>
        <v>1941494.22</v>
      </c>
      <c r="V10" s="3" t="n">
        <f aca="false">V7-V8-V9</f>
        <v>2169423.51</v>
      </c>
      <c r="W10" s="3" t="n">
        <f aca="false">W7-W8-W9</f>
        <v>2290659.16</v>
      </c>
      <c r="X10" s="3" t="n">
        <f aca="false">SUM(B10:E10)</f>
        <v>6864327.07</v>
      </c>
      <c r="Y10" s="3" t="n">
        <f aca="false">SUM(F10:Q10)</f>
        <v>24227720.79</v>
      </c>
      <c r="Z10" s="3" t="n">
        <f aca="false">SUM(R10:W10)</f>
        <v>12235975.11</v>
      </c>
    </row>
    <row r="12" customFormat="false" ht="15" hidden="false" customHeight="false" outlineLevel="0" collapsed="false">
      <c r="A12" s="0" t="s">
        <v>32</v>
      </c>
      <c r="B12" s="3" t="n">
        <f aca="false">B7-B8</f>
        <v>4801318.47</v>
      </c>
      <c r="C12" s="3" t="n">
        <f aca="false">C7-C8</f>
        <v>5036807.72</v>
      </c>
      <c r="D12" s="3" t="n">
        <f aca="false">D7-D8</f>
        <v>5479938.55</v>
      </c>
      <c r="E12" s="3" t="n">
        <f aca="false">E7-E8</f>
        <v>4635372.27</v>
      </c>
      <c r="F12" s="3" t="n">
        <f aca="false">F7-F8</f>
        <v>4901757.54</v>
      </c>
      <c r="G12" s="3" t="n">
        <f aca="false">G7-G8</f>
        <v>5181331.22</v>
      </c>
      <c r="H12" s="3" t="n">
        <f aca="false">H7-H8</f>
        <v>5219924.8</v>
      </c>
      <c r="I12" s="3" t="n">
        <f aca="false">I7-I8</f>
        <v>5571422.65</v>
      </c>
      <c r="J12" s="3" t="n">
        <f aca="false">J7-J8</f>
        <v>5678218.93</v>
      </c>
      <c r="K12" s="3" t="n">
        <f aca="false">K7-K8</f>
        <v>5606780.21</v>
      </c>
      <c r="L12" s="3" t="n">
        <f aca="false">L7-L8</f>
        <v>5461760.89</v>
      </c>
      <c r="M12" s="3" t="n">
        <f aca="false">M7-M8</f>
        <v>5283167.78</v>
      </c>
      <c r="N12" s="3" t="n">
        <f aca="false">N7-N8</f>
        <v>5496753.28</v>
      </c>
      <c r="O12" s="3" t="n">
        <f aca="false">O7-O8</f>
        <v>5666883.01</v>
      </c>
      <c r="P12" s="3" t="n">
        <f aca="false">P7-P8</f>
        <v>5819133.5</v>
      </c>
      <c r="Q12" s="3" t="n">
        <f aca="false">Q7-Q8</f>
        <v>5141376.43</v>
      </c>
      <c r="R12" s="3" t="n">
        <f aca="false">R7-R8</f>
        <v>5221675.13</v>
      </c>
      <c r="S12" s="3" t="n">
        <f aca="false">S7-S8</f>
        <v>5396663.42</v>
      </c>
      <c r="T12" s="3" t="n">
        <f aca="false">T7-T8</f>
        <v>5370213.63</v>
      </c>
      <c r="U12" s="3" t="n">
        <f aca="false">U7-U8</f>
        <v>5345971.62</v>
      </c>
      <c r="V12" s="3" t="n">
        <f aca="false">V7-V8</f>
        <v>5643334.32</v>
      </c>
      <c r="W12" s="3" t="n">
        <f aca="false">W7-W8</f>
        <v>5908302.43</v>
      </c>
      <c r="X12" s="3" t="n">
        <f aca="false">SUM(B12:E12)</f>
        <v>19953437.01</v>
      </c>
      <c r="Y12" s="3" t="n">
        <f aca="false">SUM(F12:Q12)</f>
        <v>65028510.24</v>
      </c>
      <c r="Z12" s="3" t="n">
        <f aca="false">SUM(R12:W12)</f>
        <v>32886160.55</v>
      </c>
    </row>
    <row r="13" customFormat="false" ht="15" hidden="false" customHeight="false" outlineLevel="0" collapsed="false">
      <c r="A13" s="0" t="s">
        <v>33</v>
      </c>
      <c r="B13" s="2" t="n">
        <v>128520.68</v>
      </c>
      <c r="C13" s="2" t="n">
        <v>133366.49</v>
      </c>
      <c r="D13" s="2" t="n">
        <v>140421.23</v>
      </c>
      <c r="E13" s="2" t="n">
        <v>120686.63</v>
      </c>
      <c r="F13" s="2" t="n">
        <v>128290.27</v>
      </c>
      <c r="G13" s="2" t="n">
        <v>134463.61</v>
      </c>
      <c r="H13" s="2" t="n">
        <v>137547.43</v>
      </c>
      <c r="I13" s="2" t="n">
        <v>143500.91</v>
      </c>
      <c r="J13" s="2" t="n">
        <v>147390.5</v>
      </c>
      <c r="K13" s="2" t="n">
        <v>148786.74</v>
      </c>
      <c r="L13" s="2" t="n">
        <v>147914.99</v>
      </c>
      <c r="M13" s="2" t="n">
        <v>138152.13</v>
      </c>
      <c r="N13" s="2" t="n">
        <v>145577.22</v>
      </c>
      <c r="O13" s="2" t="n">
        <v>151689.93</v>
      </c>
      <c r="P13" s="2" t="n">
        <v>154867.16</v>
      </c>
      <c r="Q13" s="2" t="n">
        <v>131886.53</v>
      </c>
      <c r="R13" s="2" t="n">
        <v>137051.84</v>
      </c>
      <c r="S13" s="2" t="n">
        <v>141768.74</v>
      </c>
      <c r="T13" s="2" t="n">
        <v>144749.69</v>
      </c>
      <c r="U13" s="2" t="n">
        <v>146098.06</v>
      </c>
      <c r="V13" s="2" t="n">
        <v>148835.19</v>
      </c>
      <c r="W13" s="2" t="n">
        <v>157940.81</v>
      </c>
      <c r="X13" s="3" t="n">
        <f aca="false">SUM(B13:E13)</f>
        <v>522995.03</v>
      </c>
      <c r="Y13" s="3" t="n">
        <f aca="false">SUM(F13:Q13)</f>
        <v>1710067.42</v>
      </c>
      <c r="Z13" s="3" t="n">
        <f aca="false">SUM(R13:W13)</f>
        <v>876444.33</v>
      </c>
    </row>
    <row r="14" customFormat="false" ht="15" hidden="false" customHeight="false" outlineLevel="0" collapsed="false">
      <c r="A14" s="0" t="s">
        <v>34</v>
      </c>
      <c r="B14" s="3" t="n">
        <f aca="false">B10-B13</f>
        <v>1398389.34</v>
      </c>
      <c r="C14" s="3" t="n">
        <f aca="false">C10-C13</f>
        <v>1647498.86</v>
      </c>
      <c r="D14" s="3" t="n">
        <f aca="false">D10-D13</f>
        <v>1963769.37</v>
      </c>
      <c r="E14" s="3" t="n">
        <f aca="false">E10-E13</f>
        <v>1331674.47</v>
      </c>
      <c r="F14" s="3" t="n">
        <f aca="false">F10-F13</f>
        <v>1576747.41</v>
      </c>
      <c r="G14" s="3" t="n">
        <f aca="false">G10-G13</f>
        <v>1740625.21</v>
      </c>
      <c r="H14" s="3" t="n">
        <f aca="false">H10-H13</f>
        <v>1702656.9</v>
      </c>
      <c r="I14" s="3" t="n">
        <f aca="false">I10-I13</f>
        <v>2053744.51</v>
      </c>
      <c r="J14" s="3" t="n">
        <f aca="false">J10-J13</f>
        <v>2073772.37</v>
      </c>
      <c r="K14" s="3" t="n">
        <f aca="false">K10-K13</f>
        <v>1947147.7</v>
      </c>
      <c r="L14" s="3" t="n">
        <f aca="false">L10-L13</f>
        <v>1888171.05</v>
      </c>
      <c r="M14" s="3" t="n">
        <f aca="false">M10-M13</f>
        <v>1795740.53</v>
      </c>
      <c r="N14" s="3" t="n">
        <f aca="false">N10-N13</f>
        <v>1877774.64</v>
      </c>
      <c r="O14" s="3" t="n">
        <f aca="false">O10-O13</f>
        <v>2045477.22</v>
      </c>
      <c r="P14" s="3" t="n">
        <f aca="false">P10-P13</f>
        <v>2119982.57</v>
      </c>
      <c r="Q14" s="3" t="n">
        <f aca="false">Q10-Q13</f>
        <v>1695813.26</v>
      </c>
      <c r="R14" s="3" t="n">
        <f aca="false">R10-R13</f>
        <v>1785685.15</v>
      </c>
      <c r="S14" s="3" t="n">
        <f aca="false">S10-S13</f>
        <v>1863425.78</v>
      </c>
      <c r="T14" s="3" t="n">
        <f aca="false">T10-T13</f>
        <v>1761717.02</v>
      </c>
      <c r="U14" s="3" t="n">
        <f aca="false">U10-U13</f>
        <v>1795396.16</v>
      </c>
      <c r="V14" s="3" t="n">
        <f aca="false">V10-V13</f>
        <v>2020588.32</v>
      </c>
      <c r="W14" s="3" t="n">
        <f aca="false">W10-W13</f>
        <v>2132718.35</v>
      </c>
      <c r="X14" s="3" t="n">
        <f aca="false">SUM(B14:E14)</f>
        <v>6341332.04</v>
      </c>
      <c r="Y14" s="3" t="n">
        <f aca="false">SUM(F14:Q14)</f>
        <v>22517653.37</v>
      </c>
      <c r="Z14" s="3" t="n">
        <f aca="false">SUM(R14:W14)</f>
        <v>11359530.78</v>
      </c>
    </row>
    <row r="15" customFormat="false" ht="15" hidden="false" customHeight="false" outlineLevel="0" collapsed="false">
      <c r="A15" s="0" t="s">
        <v>35</v>
      </c>
      <c r="B15" s="2" t="n">
        <v>607001.09</v>
      </c>
      <c r="C15" s="2" t="n">
        <v>603359.08</v>
      </c>
      <c r="D15" s="2" t="n">
        <v>599738.93</v>
      </c>
      <c r="E15" s="2" t="n">
        <v>596140.5</v>
      </c>
      <c r="F15" s="2" t="n">
        <v>592563.65</v>
      </c>
      <c r="G15" s="2" t="n">
        <v>589008.27</v>
      </c>
      <c r="H15" s="2" t="n">
        <v>585474.22</v>
      </c>
      <c r="I15" s="2" t="n">
        <v>581961.38</v>
      </c>
      <c r="J15" s="2" t="n">
        <v>578469.61</v>
      </c>
      <c r="K15" s="2" t="n">
        <v>574998.79</v>
      </c>
      <c r="L15" s="2" t="n">
        <v>571548.8</v>
      </c>
      <c r="M15" s="2" t="n">
        <v>568119.51</v>
      </c>
      <c r="N15" s="2" t="n">
        <v>564710.79</v>
      </c>
      <c r="O15" s="2" t="n">
        <v>561322.52</v>
      </c>
      <c r="P15" s="2" t="n">
        <v>557954.59</v>
      </c>
      <c r="Q15" s="2" t="n">
        <v>554606.86</v>
      </c>
      <c r="R15" s="2" t="n">
        <v>551279.22</v>
      </c>
      <c r="S15" s="2" t="n">
        <v>547971.54</v>
      </c>
      <c r="T15" s="2" t="n">
        <v>544683.72</v>
      </c>
      <c r="U15" s="2" t="n">
        <v>541415.61</v>
      </c>
      <c r="V15" s="2" t="n">
        <v>538167.12</v>
      </c>
      <c r="W15" s="2" t="n">
        <v>534938.12</v>
      </c>
      <c r="X15" s="3" t="n">
        <f aca="false">SUM(B15:E15)</f>
        <v>2406239.6</v>
      </c>
      <c r="Y15" s="3" t="n">
        <f aca="false">SUM(F15:Q15)</f>
        <v>6880738.99</v>
      </c>
      <c r="Z15" s="3" t="n">
        <f aca="false">SUM(R15:W15)</f>
        <v>3258455.33</v>
      </c>
    </row>
    <row r="16" customFormat="false" ht="15" hidden="false" customHeight="false" outlineLevel="0" collapsed="false">
      <c r="A16" s="0" t="s">
        <v>36</v>
      </c>
      <c r="B16" s="3" t="n">
        <f aca="false">B15+B20</f>
        <v>607001.09</v>
      </c>
      <c r="C16" s="3" t="n">
        <f aca="false">C15+C20</f>
        <v>603359.08</v>
      </c>
      <c r="D16" s="3" t="n">
        <f aca="false">D15+D20</f>
        <v>599738.93</v>
      </c>
      <c r="E16" s="3" t="n">
        <f aca="false">E15+E20</f>
        <v>596140.5</v>
      </c>
      <c r="F16" s="3" t="n">
        <f aca="false">F15+F20</f>
        <v>642563.65</v>
      </c>
      <c r="G16" s="3" t="n">
        <f aca="false">G15+G20</f>
        <v>639008.27</v>
      </c>
      <c r="H16" s="3" t="n">
        <f aca="false">H15+H20</f>
        <v>635474.22</v>
      </c>
      <c r="I16" s="3" t="n">
        <f aca="false">I15+I20</f>
        <v>631961.38</v>
      </c>
      <c r="J16" s="3" t="n">
        <f aca="false">J15+J20</f>
        <v>628469.61</v>
      </c>
      <c r="K16" s="3" t="n">
        <f aca="false">K15+K20</f>
        <v>624998.79</v>
      </c>
      <c r="L16" s="3" t="n">
        <f aca="false">L15+L20</f>
        <v>621548.8</v>
      </c>
      <c r="M16" s="3" t="n">
        <f aca="false">M15+M20</f>
        <v>618119.51</v>
      </c>
      <c r="N16" s="3" t="n">
        <f aca="false">N15+N20</f>
        <v>614710.79</v>
      </c>
      <c r="O16" s="3" t="n">
        <f aca="false">O15+O20</f>
        <v>611322.52</v>
      </c>
      <c r="P16" s="3" t="n">
        <f aca="false">P15+P20</f>
        <v>607954.59</v>
      </c>
      <c r="Q16" s="3" t="n">
        <f aca="false">Q15+Q20</f>
        <v>604606.86</v>
      </c>
      <c r="R16" s="3" t="n">
        <f aca="false">R15+R20</f>
        <v>601279.22</v>
      </c>
      <c r="S16" s="3" t="n">
        <f aca="false">S15+S20</f>
        <v>597971.54</v>
      </c>
      <c r="T16" s="3" t="n">
        <f aca="false">T15+T20</f>
        <v>594683.72</v>
      </c>
      <c r="U16" s="3" t="n">
        <f aca="false">U15+U20</f>
        <v>591415.61</v>
      </c>
      <c r="V16" s="3" t="n">
        <f aca="false">V15+V20</f>
        <v>588167.12</v>
      </c>
      <c r="W16" s="3" t="n">
        <f aca="false">W15+W20</f>
        <v>584938.12</v>
      </c>
      <c r="X16" s="3" t="n">
        <f aca="false">SUM(B16:E16)</f>
        <v>2406239.6</v>
      </c>
      <c r="Y16" s="3" t="n">
        <f aca="false">SUM(F16:Q16)</f>
        <v>7480738.99</v>
      </c>
      <c r="Z16" s="3" t="n">
        <f aca="false">SUM(R16:W16)</f>
        <v>3558455.33</v>
      </c>
    </row>
    <row r="17" customFormat="false" ht="15" hidden="false" customHeight="false" outlineLevel="0" collapsed="false">
      <c r="A17" s="0" t="s">
        <v>37</v>
      </c>
      <c r="B17" s="3" t="n">
        <f aca="false">B14-B16</f>
        <v>791388.250000001</v>
      </c>
      <c r="C17" s="3" t="n">
        <f aca="false">C14-C16</f>
        <v>1044139.78</v>
      </c>
      <c r="D17" s="3" t="n">
        <f aca="false">D14-D16</f>
        <v>1364030.44</v>
      </c>
      <c r="E17" s="3" t="n">
        <f aca="false">E14-E16</f>
        <v>735533.970000001</v>
      </c>
      <c r="F17" s="3" t="n">
        <f aca="false">F14-F16</f>
        <v>934183.760000001</v>
      </c>
      <c r="G17" s="3" t="n">
        <f aca="false">G14-G16</f>
        <v>1101616.94</v>
      </c>
      <c r="H17" s="3" t="n">
        <f aca="false">H14-H16</f>
        <v>1067182.68</v>
      </c>
      <c r="I17" s="3" t="n">
        <f aca="false">I14-I16</f>
        <v>1421783.13</v>
      </c>
      <c r="J17" s="3" t="n">
        <f aca="false">J14-J16</f>
        <v>1445302.76</v>
      </c>
      <c r="K17" s="3" t="n">
        <f aca="false">K14-K16</f>
        <v>1322148.91</v>
      </c>
      <c r="L17" s="3" t="n">
        <f aca="false">L14-L16</f>
        <v>1266622.25</v>
      </c>
      <c r="M17" s="3" t="n">
        <f aca="false">M14-M16</f>
        <v>1177621.02</v>
      </c>
      <c r="N17" s="3" t="n">
        <f aca="false">N14-N16</f>
        <v>1263063.85</v>
      </c>
      <c r="O17" s="3" t="n">
        <f aca="false">O14-O16</f>
        <v>1434154.7</v>
      </c>
      <c r="P17" s="3" t="n">
        <f aca="false">P14-P16</f>
        <v>1512027.98</v>
      </c>
      <c r="Q17" s="3" t="n">
        <f aca="false">Q14-Q16</f>
        <v>1091206.4</v>
      </c>
      <c r="R17" s="3" t="n">
        <f aca="false">R14-R16</f>
        <v>1184405.93</v>
      </c>
      <c r="S17" s="3" t="n">
        <f aca="false">S14-S16</f>
        <v>1265454.24</v>
      </c>
      <c r="T17" s="3" t="n">
        <f aca="false">T14-T16</f>
        <v>1167033.3</v>
      </c>
      <c r="U17" s="3" t="n">
        <f aca="false">U14-U16</f>
        <v>1203980.55</v>
      </c>
      <c r="V17" s="3" t="n">
        <f aca="false">V14-V16</f>
        <v>1432421.2</v>
      </c>
      <c r="W17" s="3" t="n">
        <f aca="false">W14-W16</f>
        <v>1547780.23</v>
      </c>
      <c r="X17" s="3" t="n">
        <f aca="false">SUM(B17:E17)</f>
        <v>3935092.44</v>
      </c>
      <c r="Y17" s="3" t="n">
        <f aca="false">SUM(F17:Q17)</f>
        <v>15036914.38</v>
      </c>
      <c r="Z17" s="3" t="n">
        <f aca="false">SUM(R17:W17)</f>
        <v>7801075.45</v>
      </c>
    </row>
    <row r="18" customFormat="false" ht="15" hidden="false" customHeight="false" outlineLevel="0" collapsed="false">
      <c r="A18" s="0" t="s">
        <v>38</v>
      </c>
      <c r="B18" s="2" t="n">
        <v>114518.25</v>
      </c>
      <c r="C18" s="2" t="n">
        <v>133564.9</v>
      </c>
      <c r="D18" s="2" t="n">
        <v>157814.3</v>
      </c>
      <c r="E18" s="2" t="n">
        <v>108927.08</v>
      </c>
      <c r="F18" s="2" t="n">
        <v>127877.83</v>
      </c>
      <c r="G18" s="2" t="n">
        <v>140631.66</v>
      </c>
      <c r="H18" s="2" t="n">
        <v>138015.32</v>
      </c>
      <c r="I18" s="2" t="n">
        <v>164793.41</v>
      </c>
      <c r="J18" s="2" t="n">
        <v>166587.22</v>
      </c>
      <c r="K18" s="2" t="n">
        <v>157195.08</v>
      </c>
      <c r="L18" s="2" t="n">
        <v>152706.45</v>
      </c>
      <c r="M18" s="2" t="n">
        <v>145041.95</v>
      </c>
      <c r="N18" s="2" t="n">
        <v>151751.39</v>
      </c>
      <c r="O18" s="2" t="n">
        <v>164787.54</v>
      </c>
      <c r="P18" s="2" t="n">
        <v>170613.73</v>
      </c>
      <c r="Q18" s="2" t="n">
        <v>137077.48</v>
      </c>
      <c r="R18" s="2" t="n">
        <v>144205.27</v>
      </c>
      <c r="S18" s="2" t="n">
        <v>150389.59</v>
      </c>
      <c r="T18" s="2" t="n">
        <v>142985</v>
      </c>
      <c r="U18" s="2" t="n">
        <v>145612.07</v>
      </c>
      <c r="V18" s="2" t="n">
        <v>162706.76</v>
      </c>
      <c r="W18" s="2" t="n">
        <v>171799.44</v>
      </c>
      <c r="X18" s="3" t="n">
        <f aca="false">SUM(B18:E18)</f>
        <v>514824.53</v>
      </c>
      <c r="Y18" s="3" t="n">
        <f aca="false">SUM(F18:Q18)</f>
        <v>1817079.06</v>
      </c>
      <c r="Z18" s="3" t="n">
        <f aca="false">SUM(R18:W18)</f>
        <v>917698.13</v>
      </c>
    </row>
    <row r="19" customFormat="false" ht="15" hidden="false" customHeight="false" outlineLevel="0" collapsed="false">
      <c r="A19" s="1" t="s">
        <v>39</v>
      </c>
      <c r="B19" s="3" t="n">
        <f aca="false">B17-B18</f>
        <v>676870.000000001</v>
      </c>
      <c r="C19" s="3" t="n">
        <f aca="false">C17-C18</f>
        <v>910574.880000001</v>
      </c>
      <c r="D19" s="3" t="n">
        <f aca="false">D17-D18</f>
        <v>1206216.14</v>
      </c>
      <c r="E19" s="3" t="n">
        <f aca="false">E17-E18</f>
        <v>626606.890000001</v>
      </c>
      <c r="F19" s="3" t="n">
        <f aca="false">F17-F18</f>
        <v>806305.930000001</v>
      </c>
      <c r="G19" s="3" t="n">
        <f aca="false">G17-G18</f>
        <v>960985.28</v>
      </c>
      <c r="H19" s="3" t="n">
        <f aca="false">H17-H18</f>
        <v>929167.360000001</v>
      </c>
      <c r="I19" s="3" t="n">
        <f aca="false">I17-I18</f>
        <v>1256989.72</v>
      </c>
      <c r="J19" s="3" t="n">
        <f aca="false">J17-J18</f>
        <v>1278715.54</v>
      </c>
      <c r="K19" s="3" t="n">
        <f aca="false">K17-K18</f>
        <v>1164953.83</v>
      </c>
      <c r="L19" s="3" t="n">
        <f aca="false">L17-L18</f>
        <v>1113915.8</v>
      </c>
      <c r="M19" s="3" t="n">
        <f aca="false">M17-M18</f>
        <v>1032579.07</v>
      </c>
      <c r="N19" s="3" t="n">
        <f aca="false">N17-N18</f>
        <v>1111312.46</v>
      </c>
      <c r="O19" s="3" t="n">
        <f aca="false">O17-O18</f>
        <v>1269367.16</v>
      </c>
      <c r="P19" s="3" t="n">
        <f aca="false">P17-P18</f>
        <v>1341414.25</v>
      </c>
      <c r="Q19" s="3" t="n">
        <f aca="false">Q17-Q18</f>
        <v>954128.92</v>
      </c>
      <c r="R19" s="3" t="n">
        <f aca="false">R17-R18</f>
        <v>1040200.66</v>
      </c>
      <c r="S19" s="3" t="n">
        <f aca="false">S17-S18</f>
        <v>1115064.65</v>
      </c>
      <c r="T19" s="3" t="n">
        <f aca="false">T17-T18</f>
        <v>1024048.3</v>
      </c>
      <c r="U19" s="3" t="n">
        <f aca="false">U17-U18</f>
        <v>1058368.48</v>
      </c>
      <c r="V19" s="3" t="n">
        <f aca="false">V17-V18</f>
        <v>1269714.44</v>
      </c>
      <c r="W19" s="3" t="n">
        <f aca="false">W17-W18</f>
        <v>1375980.79</v>
      </c>
      <c r="X19" s="3" t="n">
        <f aca="false">SUM(B19:E19)</f>
        <v>3420267.91</v>
      </c>
      <c r="Y19" s="3" t="n">
        <f aca="false">SUM(F19:Q19)</f>
        <v>13219835.32</v>
      </c>
      <c r="Z19" s="3" t="n">
        <f aca="false">SUM(R19:W19)</f>
        <v>6883377.32</v>
      </c>
    </row>
    <row r="20" customFormat="false" ht="15" hidden="false" customHeight="false" outlineLevel="0" collapsed="false">
      <c r="A20" s="0" t="s">
        <v>40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50000</v>
      </c>
      <c r="G20" s="2" t="n">
        <v>50000</v>
      </c>
      <c r="H20" s="2" t="n">
        <v>50000</v>
      </c>
      <c r="I20" s="2" t="n">
        <v>50000</v>
      </c>
      <c r="J20" s="2" t="n">
        <v>50000</v>
      </c>
      <c r="K20" s="2" t="n">
        <v>50000</v>
      </c>
      <c r="L20" s="2" t="n">
        <v>50000</v>
      </c>
      <c r="M20" s="2" t="n">
        <v>50000</v>
      </c>
      <c r="N20" s="2" t="n">
        <v>50000</v>
      </c>
      <c r="O20" s="2" t="n">
        <v>50000</v>
      </c>
      <c r="P20" s="2" t="n">
        <v>50000</v>
      </c>
      <c r="Q20" s="2" t="n">
        <v>50000</v>
      </c>
      <c r="R20" s="2" t="n">
        <v>50000</v>
      </c>
      <c r="S20" s="2" t="n">
        <v>50000</v>
      </c>
      <c r="T20" s="2" t="n">
        <v>50000</v>
      </c>
      <c r="U20" s="2" t="n">
        <v>50000</v>
      </c>
      <c r="V20" s="2" t="n">
        <v>50000</v>
      </c>
      <c r="W20" s="2" t="n">
        <v>50000</v>
      </c>
      <c r="X20" s="3" t="n">
        <f aca="false">SUM(B20:E20)</f>
        <v>0</v>
      </c>
      <c r="Y20" s="3" t="n">
        <f aca="false">SUM(F20:Q20)</f>
        <v>600000</v>
      </c>
      <c r="Z20" s="3" t="n">
        <f aca="false">SUM(R20:W20)</f>
        <v>300000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6" min="2" style="0" width="14"/>
  </cols>
  <sheetData>
    <row r="1" customFormat="false" ht="15" hidden="false" customHeight="false" outlineLevel="0" collapsed="false">
      <c r="A1" s="1" t="s">
        <v>41</v>
      </c>
    </row>
    <row r="2" customFormat="false" ht="15" hidden="false" customHeight="false" outlineLevel="0" collapsed="false">
      <c r="A2" s="0" t="s">
        <v>42</v>
      </c>
    </row>
    <row r="6" customFormat="false" ht="15" hidden="false" customHeight="false" outlineLevel="0" collapsed="false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</row>
    <row r="7" customFormat="false" ht="15" hidden="false" customHeight="false" outlineLevel="0" collapsed="false">
      <c r="A7" s="0" t="s">
        <v>43</v>
      </c>
      <c r="B7" s="2" t="n">
        <v>16887933.11</v>
      </c>
      <c r="C7" s="2" t="n">
        <v>16819879.83</v>
      </c>
      <c r="D7" s="2" t="n">
        <v>16613479.95</v>
      </c>
      <c r="E7" s="2" t="n">
        <v>19110968.37</v>
      </c>
      <c r="F7" s="2" t="n">
        <v>27429982.18</v>
      </c>
      <c r="G7" s="2" t="n">
        <v>27086752.26</v>
      </c>
      <c r="H7" s="2" t="n">
        <v>27330131.68</v>
      </c>
      <c r="I7" s="2" t="n">
        <v>27338254.88</v>
      </c>
      <c r="J7" s="2" t="n">
        <v>27716473.45</v>
      </c>
      <c r="K7" s="2" t="n">
        <v>28420879.07</v>
      </c>
      <c r="L7" s="2" t="n">
        <v>29076744.33</v>
      </c>
      <c r="M7" s="2" t="n">
        <v>31213672.91</v>
      </c>
      <c r="N7" s="2" t="n">
        <v>30803186.31</v>
      </c>
      <c r="O7" s="2" t="n">
        <v>30952076.81</v>
      </c>
      <c r="P7" s="2" t="n">
        <v>31633296.48</v>
      </c>
      <c r="Q7" s="2" t="n">
        <v>35061624.57</v>
      </c>
      <c r="R7" s="2" t="n">
        <v>35074536.02</v>
      </c>
      <c r="S7" s="2" t="n">
        <v>35178946.86</v>
      </c>
      <c r="T7" s="2" t="n">
        <v>35565939.38</v>
      </c>
      <c r="U7" s="2" t="n">
        <v>36203497.07</v>
      </c>
      <c r="V7" s="2" t="n">
        <v>36850610.79</v>
      </c>
      <c r="W7" s="2" t="n">
        <v>36445185.51</v>
      </c>
      <c r="X7" s="3" t="n">
        <f aca="false">E7</f>
        <v>19110968.37</v>
      </c>
      <c r="Y7" s="3" t="n">
        <f aca="false">Q7</f>
        <v>35061624.57</v>
      </c>
      <c r="Z7" s="3" t="n">
        <f aca="false">W7</f>
        <v>36445185.51</v>
      </c>
    </row>
    <row r="8" customFormat="false" ht="15" hidden="false" customHeight="false" outlineLevel="0" collapsed="false">
      <c r="A8" s="0" t="s">
        <v>44</v>
      </c>
      <c r="B8" s="2" t="n">
        <v>14498560.91</v>
      </c>
      <c r="C8" s="2" t="n">
        <v>14985947.77</v>
      </c>
      <c r="D8" s="2" t="n">
        <v>15909725.5</v>
      </c>
      <c r="E8" s="2" t="n">
        <v>13703966.72</v>
      </c>
      <c r="F8" s="2" t="n">
        <v>14729861.59</v>
      </c>
      <c r="G8" s="2" t="n">
        <v>15591802.94</v>
      </c>
      <c r="H8" s="2" t="n">
        <v>15838586.06</v>
      </c>
      <c r="I8" s="2" t="n">
        <v>16658860.66</v>
      </c>
      <c r="J8" s="2" t="n">
        <v>17120225.15</v>
      </c>
      <c r="K8" s="2" t="n">
        <v>17147671.45</v>
      </c>
      <c r="L8" s="2" t="n">
        <v>17192651.97</v>
      </c>
      <c r="M8" s="2" t="n">
        <v>15788486.14</v>
      </c>
      <c r="N8" s="2" t="n">
        <v>16852989.74</v>
      </c>
      <c r="O8" s="2" t="n">
        <v>17525243.37</v>
      </c>
      <c r="P8" s="2" t="n">
        <v>17771866.86</v>
      </c>
      <c r="Q8" s="2" t="n">
        <v>15100274.6</v>
      </c>
      <c r="R8" s="2" t="n">
        <v>15691674.37</v>
      </c>
      <c r="S8" s="2" t="n">
        <v>16286077.95</v>
      </c>
      <c r="T8" s="2" t="n">
        <v>16499052.57</v>
      </c>
      <c r="U8" s="2" t="n">
        <v>16518009.33</v>
      </c>
      <c r="V8" s="2" t="n">
        <v>16770418.57</v>
      </c>
      <c r="W8" s="2" t="n">
        <v>18094752.03</v>
      </c>
      <c r="X8" s="3" t="n">
        <f aca="false">E8</f>
        <v>13703966.72</v>
      </c>
      <c r="Y8" s="3" t="n">
        <f aca="false">Q8</f>
        <v>15100274.6</v>
      </c>
      <c r="Z8" s="3" t="n">
        <f aca="false">W8</f>
        <v>18094752.03</v>
      </c>
    </row>
    <row r="9" customFormat="false" ht="15" hidden="false" customHeight="false" outlineLevel="0" collapsed="false">
      <c r="A9" s="0" t="s">
        <v>45</v>
      </c>
      <c r="B9" s="2" t="n">
        <v>7976796.76</v>
      </c>
      <c r="C9" s="2" t="n">
        <v>8204039.55</v>
      </c>
      <c r="D9" s="2" t="n">
        <v>8399471.47</v>
      </c>
      <c r="E9" s="2" t="n">
        <v>7319493.19</v>
      </c>
      <c r="F9" s="2" t="n">
        <v>7815283.11</v>
      </c>
      <c r="G9" s="2" t="n">
        <v>8132359.31</v>
      </c>
      <c r="H9" s="2" t="n">
        <v>8427186.9</v>
      </c>
      <c r="I9" s="2" t="n">
        <v>8622431.28</v>
      </c>
      <c r="J9" s="2" t="n">
        <v>8915835.44</v>
      </c>
      <c r="K9" s="2" t="n">
        <v>9169354.64</v>
      </c>
      <c r="L9" s="2" t="n">
        <v>9267058.81</v>
      </c>
      <c r="M9" s="2" t="n">
        <v>8409838.34</v>
      </c>
      <c r="N9" s="2" t="n">
        <v>8956820.55</v>
      </c>
      <c r="O9" s="2" t="n">
        <v>9414825.18</v>
      </c>
      <c r="P9" s="2" t="n">
        <v>9566725.16</v>
      </c>
      <c r="Q9" s="2" t="n">
        <v>7896376.07</v>
      </c>
      <c r="R9" s="2" t="n">
        <v>8369070.66</v>
      </c>
      <c r="S9" s="2" t="n">
        <v>8663487.77</v>
      </c>
      <c r="T9" s="2" t="n">
        <v>9034552.12</v>
      </c>
      <c r="U9" s="2" t="n">
        <v>9218970.4</v>
      </c>
      <c r="V9" s="2" t="n">
        <v>9125457.65</v>
      </c>
      <c r="W9" s="2" t="n">
        <v>9792132.74</v>
      </c>
      <c r="X9" s="3" t="n">
        <f aca="false">E9</f>
        <v>7319493.19</v>
      </c>
      <c r="Y9" s="3" t="n">
        <f aca="false">Q9</f>
        <v>7896376.07</v>
      </c>
      <c r="Z9" s="3" t="n">
        <f aca="false">W9</f>
        <v>9792132.74</v>
      </c>
    </row>
    <row r="10" customFormat="false" ht="15" hidden="false" customHeight="false" outlineLevel="0" collapsed="false">
      <c r="A10" s="0" t="s">
        <v>46</v>
      </c>
      <c r="B10" s="3" t="n">
        <f aca="false">B15+B16</f>
        <v>51908507.49</v>
      </c>
      <c r="C10" s="3" t="n">
        <f aca="false">C15+C16</f>
        <v>51960520.42</v>
      </c>
      <c r="D10" s="3" t="n">
        <f aca="false">D15+D16</f>
        <v>52015284.7</v>
      </c>
      <c r="E10" s="3" t="n">
        <f aca="false">E15+E16</f>
        <v>52062352.49</v>
      </c>
      <c r="F10" s="3" t="n">
        <f aca="false">F15+F16</f>
        <v>52112385.69</v>
      </c>
      <c r="G10" s="3" t="n">
        <f aca="false">G15+G16</f>
        <v>52164826.51</v>
      </c>
      <c r="H10" s="3" t="n">
        <f aca="false">H15+H16</f>
        <v>52218470</v>
      </c>
      <c r="I10" s="3" t="n">
        <f aca="false">I15+I16</f>
        <v>52274435.35</v>
      </c>
      <c r="J10" s="3" t="n">
        <f aca="false">J15+J16</f>
        <v>52331917.65</v>
      </c>
      <c r="K10" s="3" t="n">
        <f aca="false">K15+K16</f>
        <v>52389944.47</v>
      </c>
      <c r="L10" s="3" t="n">
        <f aca="false">L15+L16</f>
        <v>52447631.32</v>
      </c>
      <c r="M10" s="3" t="n">
        <f aca="false">M15+M16</f>
        <v>52501510.65</v>
      </c>
      <c r="N10" s="3" t="n">
        <f aca="false">N15+N16</f>
        <v>52558285.77</v>
      </c>
      <c r="O10" s="3" t="n">
        <f aca="false">O15+O16</f>
        <v>52617444.84</v>
      </c>
      <c r="P10" s="3" t="n">
        <f aca="false">P15+P16</f>
        <v>52677843.04</v>
      </c>
      <c r="Q10" s="3" t="n">
        <f aca="false">Q15+Q16</f>
        <v>52729278.78</v>
      </c>
      <c r="R10" s="3" t="n">
        <f aca="false">R15+R16</f>
        <v>52782729</v>
      </c>
      <c r="S10" s="3" t="n">
        <f aca="false">S15+S16</f>
        <v>52838018.81</v>
      </c>
      <c r="T10" s="3" t="n">
        <f aca="false">T15+T16</f>
        <v>52894471.19</v>
      </c>
      <c r="U10" s="3" t="n">
        <f aca="false">U15+U16</f>
        <v>52951449.43</v>
      </c>
      <c r="V10" s="3" t="n">
        <f aca="false">V15+V16</f>
        <v>53009495.16</v>
      </c>
      <c r="W10" s="3" t="n">
        <f aca="false">W15+W16</f>
        <v>53071092.07</v>
      </c>
      <c r="X10" s="3" t="n">
        <f aca="false">E10</f>
        <v>52062352.49</v>
      </c>
      <c r="Y10" s="3" t="n">
        <f aca="false">Q10</f>
        <v>52729278.78</v>
      </c>
      <c r="Z10" s="3" t="n">
        <f aca="false">W10</f>
        <v>53071092.07</v>
      </c>
    </row>
    <row r="11" customFormat="false" ht="15" hidden="false" customHeight="false" outlineLevel="0" collapsed="false">
      <c r="A11" s="0" t="s">
        <v>47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2950000</v>
      </c>
      <c r="G11" s="2" t="n">
        <v>2900000</v>
      </c>
      <c r="H11" s="2" t="n">
        <v>2850000</v>
      </c>
      <c r="I11" s="2" t="n">
        <v>2800000</v>
      </c>
      <c r="J11" s="2" t="n">
        <v>2750000</v>
      </c>
      <c r="K11" s="2" t="n">
        <v>2700000</v>
      </c>
      <c r="L11" s="2" t="n">
        <v>2650000</v>
      </c>
      <c r="M11" s="2" t="n">
        <v>2600000</v>
      </c>
      <c r="N11" s="2" t="n">
        <v>2550000</v>
      </c>
      <c r="O11" s="2" t="n">
        <v>2500000</v>
      </c>
      <c r="P11" s="2" t="n">
        <v>2450000</v>
      </c>
      <c r="Q11" s="2" t="n">
        <v>2400000</v>
      </c>
      <c r="R11" s="2" t="n">
        <v>2350000</v>
      </c>
      <c r="S11" s="2" t="n">
        <v>2300000</v>
      </c>
      <c r="T11" s="2" t="n">
        <v>2250000</v>
      </c>
      <c r="U11" s="2" t="n">
        <v>2200000</v>
      </c>
      <c r="V11" s="2" t="n">
        <v>2150000</v>
      </c>
      <c r="W11" s="2" t="n">
        <v>2100000</v>
      </c>
      <c r="X11" s="3" t="n">
        <f aca="false">E11</f>
        <v>0</v>
      </c>
      <c r="Y11" s="3" t="n">
        <f aca="false">Q11</f>
        <v>2400000</v>
      </c>
      <c r="Z11" s="3" t="n">
        <f aca="false">W11</f>
        <v>2100000</v>
      </c>
    </row>
    <row r="12" customFormat="false" ht="15" hidden="false" customHeight="false" outlineLevel="0" collapsed="false">
      <c r="A12" s="0" t="s">
        <v>48</v>
      </c>
      <c r="B12" s="2" t="n">
        <v>14640861.09</v>
      </c>
      <c r="C12" s="2" t="n">
        <v>14655531.4</v>
      </c>
      <c r="D12" s="2" t="n">
        <v>14670977.74</v>
      </c>
      <c r="E12" s="2" t="n">
        <v>14684253.26</v>
      </c>
      <c r="F12" s="2" t="n">
        <v>14698365.2</v>
      </c>
      <c r="G12" s="2" t="n">
        <v>14713156.19</v>
      </c>
      <c r="H12" s="2" t="n">
        <v>14728286.41</v>
      </c>
      <c r="I12" s="2" t="n">
        <v>14744071.51</v>
      </c>
      <c r="J12" s="2" t="n">
        <v>14760284.46</v>
      </c>
      <c r="K12" s="2" t="n">
        <v>14776651.01</v>
      </c>
      <c r="L12" s="2" t="n">
        <v>14792921.65</v>
      </c>
      <c r="M12" s="2" t="n">
        <v>14808118.39</v>
      </c>
      <c r="N12" s="2" t="n">
        <v>14824131.88</v>
      </c>
      <c r="O12" s="2" t="n">
        <v>14840817.78</v>
      </c>
      <c r="P12" s="2" t="n">
        <v>14857853.16</v>
      </c>
      <c r="Q12" s="2" t="n">
        <v>14872360.68</v>
      </c>
      <c r="R12" s="2" t="n">
        <v>14887436.38</v>
      </c>
      <c r="S12" s="2" t="n">
        <v>14903030.94</v>
      </c>
      <c r="T12" s="2" t="n">
        <v>14918953.41</v>
      </c>
      <c r="U12" s="2" t="n">
        <v>14935024.2</v>
      </c>
      <c r="V12" s="2" t="n">
        <v>14951396.07</v>
      </c>
      <c r="W12" s="2" t="n">
        <v>14968769.56</v>
      </c>
      <c r="X12" s="3" t="n">
        <f aca="false">E12</f>
        <v>14684253.26</v>
      </c>
      <c r="Y12" s="3" t="n">
        <f aca="false">Q12</f>
        <v>14872360.68</v>
      </c>
      <c r="Z12" s="3" t="n">
        <f aca="false">W12</f>
        <v>14968769.56</v>
      </c>
    </row>
    <row r="13" customFormat="false" ht="15" hidden="false" customHeight="false" outlineLevel="0" collapsed="false">
      <c r="A13" s="1" t="s">
        <v>49</v>
      </c>
      <c r="B13" s="3" t="n">
        <f aca="false">B7+B8+B9+B10+B11+B12</f>
        <v>105912659.36</v>
      </c>
      <c r="C13" s="3" t="n">
        <f aca="false">C7+C8+C9+C10+C11+C12</f>
        <v>106625918.97</v>
      </c>
      <c r="D13" s="3" t="n">
        <f aca="false">D7+D8+D9+D10+D11+D12</f>
        <v>107608939.36</v>
      </c>
      <c r="E13" s="3" t="n">
        <f aca="false">E7+E8+E9+E10+E11+E12</f>
        <v>106881034.03</v>
      </c>
      <c r="F13" s="3" t="n">
        <f aca="false">F7+F8+F9+F10+F11+F12</f>
        <v>119735877.77</v>
      </c>
      <c r="G13" s="3" t="n">
        <f aca="false">G7+G8+G9+G10+G11+G12</f>
        <v>120588897.21</v>
      </c>
      <c r="H13" s="3" t="n">
        <f aca="false">H7+H8+H9+H10+H11+H12</f>
        <v>121392661.05</v>
      </c>
      <c r="I13" s="3" t="n">
        <f aca="false">I7+I8+I9+I10+I11+I12</f>
        <v>122438053.68</v>
      </c>
      <c r="J13" s="3" t="n">
        <f aca="false">J7+J8+J9+J10+J11+J12</f>
        <v>123594736.15</v>
      </c>
      <c r="K13" s="3" t="n">
        <f aca="false">K7+K8+K9+K10+K11+K12</f>
        <v>124604500.64</v>
      </c>
      <c r="L13" s="3" t="n">
        <f aca="false">L7+L8+L9+L10+L11+L12</f>
        <v>125427008.08</v>
      </c>
      <c r="M13" s="3" t="n">
        <f aca="false">M7+M8+M9+M10+M11+M12</f>
        <v>125321626.43</v>
      </c>
      <c r="N13" s="3" t="n">
        <f aca="false">N7+N8+N9+N10+N11+N12</f>
        <v>126545414.25</v>
      </c>
      <c r="O13" s="3" t="n">
        <f aca="false">O7+O8+O9+O10+O11+O12</f>
        <v>127850407.98</v>
      </c>
      <c r="P13" s="3" t="n">
        <f aca="false">P7+P8+P9+P10+P11+P12</f>
        <v>128957584.7</v>
      </c>
      <c r="Q13" s="3" t="n">
        <f aca="false">Q7+Q8+Q9+Q10+Q11+Q12</f>
        <v>128059914.7</v>
      </c>
      <c r="R13" s="3" t="n">
        <f aca="false">R7+R8+R9+R10+R11+R12</f>
        <v>129155446.43</v>
      </c>
      <c r="S13" s="3" t="n">
        <f aca="false">S7+S8+S9+S10+S11+S12</f>
        <v>130169562.33</v>
      </c>
      <c r="T13" s="3" t="n">
        <f aca="false">T7+T8+T9+T10+T11+T12</f>
        <v>131162968.67</v>
      </c>
      <c r="U13" s="3" t="n">
        <f aca="false">U7+U8+U9+U10+U11+U12</f>
        <v>132026950.43</v>
      </c>
      <c r="V13" s="3" t="n">
        <f aca="false">V7+V8+V9+V10+V11+V12</f>
        <v>132857378.24</v>
      </c>
      <c r="W13" s="3" t="n">
        <f aca="false">W7+W8+W9+W10+W11+W12</f>
        <v>134471931.91</v>
      </c>
      <c r="X13" s="3" t="n">
        <f aca="false">E13</f>
        <v>106881034.03</v>
      </c>
      <c r="Y13" s="3" t="n">
        <f aca="false">Q13</f>
        <v>128059914.7</v>
      </c>
      <c r="Z13" s="3" t="n">
        <f aca="false">W13</f>
        <v>134471931.91</v>
      </c>
    </row>
    <row r="15" customFormat="false" ht="15" hidden="false" customHeight="false" outlineLevel="0" collapsed="false">
      <c r="A15" s="0" t="s">
        <v>50</v>
      </c>
      <c r="B15" s="2" t="n">
        <v>64253030.53</v>
      </c>
      <c r="C15" s="2" t="n">
        <v>64438409.95</v>
      </c>
      <c r="D15" s="2" t="n">
        <v>64633595.46</v>
      </c>
      <c r="E15" s="2" t="n">
        <v>64801349.88</v>
      </c>
      <c r="F15" s="2" t="n">
        <v>64979673.35</v>
      </c>
      <c r="G15" s="2" t="n">
        <v>65166577.78</v>
      </c>
      <c r="H15" s="2" t="n">
        <v>65357768.7</v>
      </c>
      <c r="I15" s="2" t="n">
        <v>65557234.96</v>
      </c>
      <c r="J15" s="2" t="n">
        <v>65762107.76</v>
      </c>
      <c r="K15" s="2" t="n">
        <v>65968921.32</v>
      </c>
      <c r="L15" s="2" t="n">
        <v>66174523.16</v>
      </c>
      <c r="M15" s="2" t="n">
        <v>66366554.62</v>
      </c>
      <c r="N15" s="2" t="n">
        <v>66568906.96</v>
      </c>
      <c r="O15" s="2" t="n">
        <v>66779755.96</v>
      </c>
      <c r="P15" s="2" t="n">
        <v>66995021.32</v>
      </c>
      <c r="Q15" s="2" t="n">
        <v>67178343.59</v>
      </c>
      <c r="R15" s="2" t="n">
        <v>67368845.65</v>
      </c>
      <c r="S15" s="2" t="n">
        <v>67565904.2</v>
      </c>
      <c r="T15" s="2" t="n">
        <v>67767106.27</v>
      </c>
      <c r="U15" s="2" t="n">
        <v>67970182.57</v>
      </c>
      <c r="V15" s="2" t="n">
        <v>68177063.49</v>
      </c>
      <c r="W15" s="2" t="n">
        <v>68396601.21</v>
      </c>
      <c r="X15" s="3" t="n">
        <f aca="false">E15</f>
        <v>64801349.88</v>
      </c>
      <c r="Y15" s="3" t="n">
        <f aca="false">Q15</f>
        <v>67178343.59</v>
      </c>
      <c r="Z15" s="3" t="n">
        <f aca="false">W15</f>
        <v>68396601.21</v>
      </c>
    </row>
    <row r="16" customFormat="false" ht="15" hidden="false" customHeight="false" outlineLevel="0" collapsed="false">
      <c r="A16" s="0" t="s">
        <v>51</v>
      </c>
      <c r="B16" s="2" t="n">
        <v>-12344523.04</v>
      </c>
      <c r="C16" s="2" t="n">
        <v>-12477889.53</v>
      </c>
      <c r="D16" s="2" t="n">
        <v>-12618310.76</v>
      </c>
      <c r="E16" s="2" t="n">
        <v>-12738997.39</v>
      </c>
      <c r="F16" s="2" t="n">
        <v>-12867287.66</v>
      </c>
      <c r="G16" s="2" t="n">
        <v>-13001751.27</v>
      </c>
      <c r="H16" s="2" t="n">
        <v>-13139298.7</v>
      </c>
      <c r="I16" s="2" t="n">
        <v>-13282799.61</v>
      </c>
      <c r="J16" s="2" t="n">
        <v>-13430190.11</v>
      </c>
      <c r="K16" s="2" t="n">
        <v>-13578976.85</v>
      </c>
      <c r="L16" s="2" t="n">
        <v>-13726891.84</v>
      </c>
      <c r="M16" s="2" t="n">
        <v>-13865043.97</v>
      </c>
      <c r="N16" s="2" t="n">
        <v>-14010621.19</v>
      </c>
      <c r="O16" s="2" t="n">
        <v>-14162311.12</v>
      </c>
      <c r="P16" s="2" t="n">
        <v>-14317178.28</v>
      </c>
      <c r="Q16" s="2" t="n">
        <v>-14449064.81</v>
      </c>
      <c r="R16" s="2" t="n">
        <v>-14586116.65</v>
      </c>
      <c r="S16" s="2" t="n">
        <v>-14727885.39</v>
      </c>
      <c r="T16" s="2" t="n">
        <v>-14872635.08</v>
      </c>
      <c r="U16" s="2" t="n">
        <v>-15018733.14</v>
      </c>
      <c r="V16" s="2" t="n">
        <v>-15167568.33</v>
      </c>
      <c r="W16" s="2" t="n">
        <v>-15325509.14</v>
      </c>
      <c r="X16" s="3" t="n">
        <f aca="false">E16</f>
        <v>-12738997.39</v>
      </c>
      <c r="Y16" s="3" t="n">
        <f aca="false">Q16</f>
        <v>-14449064.81</v>
      </c>
      <c r="Z16" s="3" t="n">
        <f aca="false">W16</f>
        <v>-15325509.14</v>
      </c>
    </row>
    <row r="18" customFormat="false" ht="15" hidden="false" customHeight="false" outlineLevel="0" collapsed="false">
      <c r="A18" s="0" t="s">
        <v>52</v>
      </c>
      <c r="B18" s="2" t="n">
        <v>4963340.21</v>
      </c>
      <c r="C18" s="2" t="n">
        <v>5104735.72</v>
      </c>
      <c r="D18" s="2" t="n">
        <v>5226337.8</v>
      </c>
      <c r="E18" s="2" t="n">
        <v>4554351.32</v>
      </c>
      <c r="F18" s="2" t="n">
        <v>4862842.82</v>
      </c>
      <c r="G18" s="2" t="n">
        <v>5060134.68</v>
      </c>
      <c r="H18" s="2" t="n">
        <v>5243582.96</v>
      </c>
      <c r="I18" s="2" t="n">
        <v>5365068.35</v>
      </c>
      <c r="J18" s="2" t="n">
        <v>5547630.95</v>
      </c>
      <c r="K18" s="2" t="n">
        <v>5705376.22</v>
      </c>
      <c r="L18" s="2" t="n">
        <v>5766169.93</v>
      </c>
      <c r="M18" s="2" t="n">
        <v>5232788.3</v>
      </c>
      <c r="N18" s="2" t="n">
        <v>5573132.79</v>
      </c>
      <c r="O18" s="2" t="n">
        <v>5858113.45</v>
      </c>
      <c r="P18" s="2" t="n">
        <v>5952628.99</v>
      </c>
      <c r="Q18" s="2" t="n">
        <v>4913300.66</v>
      </c>
      <c r="R18" s="2" t="n">
        <v>5207421.75</v>
      </c>
      <c r="S18" s="2" t="n">
        <v>5390614.62</v>
      </c>
      <c r="T18" s="2" t="n">
        <v>5621499.1</v>
      </c>
      <c r="U18" s="2" t="n">
        <v>5736248.24</v>
      </c>
      <c r="V18" s="2" t="n">
        <v>5678062.54</v>
      </c>
      <c r="W18" s="2" t="n">
        <v>6092882.59</v>
      </c>
      <c r="X18" s="3" t="n">
        <f aca="false">E18</f>
        <v>4554351.32</v>
      </c>
      <c r="Y18" s="3" t="n">
        <f aca="false">Q18</f>
        <v>4913300.66</v>
      </c>
      <c r="Z18" s="3" t="n">
        <f aca="false">W18</f>
        <v>6092882.59</v>
      </c>
    </row>
    <row r="19" customFormat="false" ht="15" hidden="false" customHeight="false" outlineLevel="0" collapsed="false">
      <c r="A19" s="0" t="s">
        <v>53</v>
      </c>
      <c r="B19" s="2" t="n">
        <v>1559906.92</v>
      </c>
      <c r="C19" s="2" t="n">
        <v>1604345.51</v>
      </c>
      <c r="D19" s="2" t="n">
        <v>1642563.31</v>
      </c>
      <c r="E19" s="2" t="n">
        <v>1431367.56</v>
      </c>
      <c r="F19" s="2" t="n">
        <v>1528322.03</v>
      </c>
      <c r="G19" s="2" t="n">
        <v>1590328.04</v>
      </c>
      <c r="H19" s="2" t="n">
        <v>1647983.22</v>
      </c>
      <c r="I19" s="2" t="n">
        <v>1686164.34</v>
      </c>
      <c r="J19" s="2" t="n">
        <v>1743541.15</v>
      </c>
      <c r="K19" s="2" t="n">
        <v>1793118.24</v>
      </c>
      <c r="L19" s="2" t="n">
        <v>1812224.83</v>
      </c>
      <c r="M19" s="2" t="n">
        <v>1644590.61</v>
      </c>
      <c r="N19" s="2" t="n">
        <v>1751556.02</v>
      </c>
      <c r="O19" s="2" t="n">
        <v>1841121.37</v>
      </c>
      <c r="P19" s="2" t="n">
        <v>1870826.25</v>
      </c>
      <c r="Q19" s="2" t="n">
        <v>1544180.21</v>
      </c>
      <c r="R19" s="2" t="n">
        <v>1636618.26</v>
      </c>
      <c r="S19" s="2" t="n">
        <v>1694193.16</v>
      </c>
      <c r="T19" s="2" t="n">
        <v>1766756.86</v>
      </c>
      <c r="U19" s="2" t="n">
        <v>1802820.88</v>
      </c>
      <c r="V19" s="2" t="n">
        <v>1784533.94</v>
      </c>
      <c r="W19" s="2" t="n">
        <v>1914905.96</v>
      </c>
      <c r="X19" s="3" t="n">
        <f aca="false">E19</f>
        <v>1431367.56</v>
      </c>
      <c r="Y19" s="3" t="n">
        <f aca="false">Q19</f>
        <v>1544180.21</v>
      </c>
      <c r="Z19" s="3" t="n">
        <f aca="false">W19</f>
        <v>1914905.96</v>
      </c>
    </row>
    <row r="20" customFormat="false" ht="15" hidden="false" customHeight="false" outlineLevel="0" collapsed="false">
      <c r="A20" s="0" t="s">
        <v>54</v>
      </c>
      <c r="B20" s="2" t="n">
        <v>567238.88</v>
      </c>
      <c r="C20" s="2" t="n">
        <v>583398.37</v>
      </c>
      <c r="D20" s="2" t="n">
        <v>597295.75</v>
      </c>
      <c r="E20" s="2" t="n">
        <v>520497.29</v>
      </c>
      <c r="F20" s="2" t="n">
        <v>555753.47</v>
      </c>
      <c r="G20" s="2" t="n">
        <v>578301.11</v>
      </c>
      <c r="H20" s="2" t="n">
        <v>599266.62</v>
      </c>
      <c r="I20" s="2" t="n">
        <v>613150.67</v>
      </c>
      <c r="J20" s="2" t="n">
        <v>634014.96</v>
      </c>
      <c r="K20" s="2" t="n">
        <v>652043</v>
      </c>
      <c r="L20" s="2" t="n">
        <v>658990.85</v>
      </c>
      <c r="M20" s="2" t="n">
        <v>598032.95</v>
      </c>
      <c r="N20" s="2" t="n">
        <v>636929.46</v>
      </c>
      <c r="O20" s="2" t="n">
        <v>669498.68</v>
      </c>
      <c r="P20" s="2" t="n">
        <v>680300.46</v>
      </c>
      <c r="Q20" s="2" t="n">
        <v>561520.08</v>
      </c>
      <c r="R20" s="2" t="n">
        <v>595133.91</v>
      </c>
      <c r="S20" s="2" t="n">
        <v>616070.24</v>
      </c>
      <c r="T20" s="2" t="n">
        <v>642457.04</v>
      </c>
      <c r="U20" s="2" t="n">
        <v>655571.23</v>
      </c>
      <c r="V20" s="2" t="n">
        <v>648921.43</v>
      </c>
      <c r="W20" s="2" t="n">
        <v>696329.44</v>
      </c>
      <c r="X20" s="3" t="n">
        <f aca="false">E20</f>
        <v>520497.29</v>
      </c>
      <c r="Y20" s="3" t="n">
        <f aca="false">Q20</f>
        <v>561520.08</v>
      </c>
      <c r="Z20" s="3" t="n">
        <f aca="false">W20</f>
        <v>696329.44</v>
      </c>
    </row>
    <row r="21" customFormat="false" ht="15" hidden="false" customHeight="false" outlineLevel="0" collapsed="false">
      <c r="A21" s="0" t="s">
        <v>55</v>
      </c>
      <c r="B21" s="3" t="n">
        <f aca="false">B18+B19+B20</f>
        <v>7090486.01</v>
      </c>
      <c r="C21" s="3" t="n">
        <f aca="false">C18+C19+C20</f>
        <v>7292479.6</v>
      </c>
      <c r="D21" s="3" t="n">
        <f aca="false">D18+D19+D20</f>
        <v>7466196.86</v>
      </c>
      <c r="E21" s="3" t="n">
        <f aca="false">E18+E19+E20</f>
        <v>6506216.17</v>
      </c>
      <c r="F21" s="3" t="n">
        <f aca="false">F18+F19+F20</f>
        <v>6946918.32</v>
      </c>
      <c r="G21" s="3" t="n">
        <f aca="false">G18+G19+G20</f>
        <v>7228763.83</v>
      </c>
      <c r="H21" s="3" t="n">
        <f aca="false">H18+H19+H20</f>
        <v>7490832.8</v>
      </c>
      <c r="I21" s="3" t="n">
        <f aca="false">I18+I19+I20</f>
        <v>7664383.36</v>
      </c>
      <c r="J21" s="3" t="n">
        <f aca="false">J18+J19+J20</f>
        <v>7925187.06</v>
      </c>
      <c r="K21" s="3" t="n">
        <f aca="false">K18+K19+K20</f>
        <v>8150537.46</v>
      </c>
      <c r="L21" s="3" t="n">
        <f aca="false">L18+L19+L20</f>
        <v>8237385.61</v>
      </c>
      <c r="M21" s="3" t="n">
        <f aca="false">M18+M19+M20</f>
        <v>7475411.86</v>
      </c>
      <c r="N21" s="3" t="n">
        <f aca="false">N18+N19+N20</f>
        <v>7961618.27</v>
      </c>
      <c r="O21" s="3" t="n">
        <f aca="false">O18+O19+O20</f>
        <v>8368733.5</v>
      </c>
      <c r="P21" s="3" t="n">
        <f aca="false">P18+P19+P20</f>
        <v>8503755.7</v>
      </c>
      <c r="Q21" s="3" t="n">
        <f aca="false">Q18+Q19+Q20</f>
        <v>7019000.95</v>
      </c>
      <c r="R21" s="3" t="n">
        <f aca="false">R18+R19+R20</f>
        <v>7439173.92</v>
      </c>
      <c r="S21" s="3" t="n">
        <f aca="false">S18+S19+S20</f>
        <v>7700878.02</v>
      </c>
      <c r="T21" s="3" t="n">
        <f aca="false">T18+T19+T20</f>
        <v>8030713</v>
      </c>
      <c r="U21" s="3" t="n">
        <f aca="false">U18+U19+U20</f>
        <v>8194640.35</v>
      </c>
      <c r="V21" s="3" t="n">
        <f aca="false">V18+V19+V20</f>
        <v>8111517.91</v>
      </c>
      <c r="W21" s="3" t="n">
        <f aca="false">W18+W19+W20</f>
        <v>8704117.99</v>
      </c>
      <c r="X21" s="3" t="n">
        <f aca="false">E21</f>
        <v>6506216.17</v>
      </c>
      <c r="Y21" s="3" t="n">
        <f aca="false">Q21</f>
        <v>7019000.95</v>
      </c>
      <c r="Z21" s="3" t="n">
        <f aca="false">W21</f>
        <v>8704117.99</v>
      </c>
    </row>
    <row r="22" customFormat="false" ht="15" hidden="false" customHeight="false" outlineLevel="0" collapsed="false">
      <c r="A22" s="0" t="s">
        <v>56</v>
      </c>
      <c r="B22" s="2" t="n">
        <v>66551476.78</v>
      </c>
      <c r="C22" s="2" t="n">
        <v>66152167.92</v>
      </c>
      <c r="D22" s="2" t="n">
        <v>65755254.91</v>
      </c>
      <c r="E22" s="2" t="n">
        <v>65360723.38</v>
      </c>
      <c r="F22" s="2" t="n">
        <v>64968559.04</v>
      </c>
      <c r="G22" s="2" t="n">
        <v>64578747.69</v>
      </c>
      <c r="H22" s="2" t="n">
        <v>64191275.2</v>
      </c>
      <c r="I22" s="2" t="n">
        <v>63806127.55</v>
      </c>
      <c r="J22" s="2" t="n">
        <v>63423290.78</v>
      </c>
      <c r="K22" s="2" t="n">
        <v>63042751.04</v>
      </c>
      <c r="L22" s="2" t="n">
        <v>62664494.53</v>
      </c>
      <c r="M22" s="2" t="n">
        <v>62288507.56</v>
      </c>
      <c r="N22" s="2" t="n">
        <v>61914776.51</v>
      </c>
      <c r="O22" s="2" t="n">
        <v>61543287.85</v>
      </c>
      <c r="P22" s="2" t="n">
        <v>61174028.12</v>
      </c>
      <c r="Q22" s="2" t="n">
        <v>60806983.95</v>
      </c>
      <c r="R22" s="2" t="n">
        <v>60442142.05</v>
      </c>
      <c r="S22" s="2" t="n">
        <v>60079489.2</v>
      </c>
      <c r="T22" s="2" t="n">
        <v>59719012.26</v>
      </c>
      <c r="U22" s="2" t="n">
        <v>59360698.19</v>
      </c>
      <c r="V22" s="2" t="n">
        <v>59004534</v>
      </c>
      <c r="W22" s="2" t="n">
        <v>58650506.8</v>
      </c>
      <c r="X22" s="3" t="n">
        <f aca="false">E22</f>
        <v>65360723.38</v>
      </c>
      <c r="Y22" s="3" t="n">
        <f aca="false">Q22</f>
        <v>60806983.95</v>
      </c>
      <c r="Z22" s="3" t="n">
        <f aca="false">W22</f>
        <v>58650506.8</v>
      </c>
    </row>
    <row r="23" customFormat="false" ht="15" hidden="false" customHeight="false" outlineLevel="0" collapsed="false">
      <c r="A23" s="1" t="s">
        <v>57</v>
      </c>
      <c r="B23" s="3" t="n">
        <f aca="false">B21+B22</f>
        <v>73641962.79</v>
      </c>
      <c r="C23" s="3" t="n">
        <f aca="false">C21+C22</f>
        <v>73444647.52</v>
      </c>
      <c r="D23" s="3" t="n">
        <f aca="false">D21+D22</f>
        <v>73221451.77</v>
      </c>
      <c r="E23" s="3" t="n">
        <f aca="false">E21+E22</f>
        <v>71866939.55</v>
      </c>
      <c r="F23" s="3" t="n">
        <f aca="false">F21+F22</f>
        <v>71915477.36</v>
      </c>
      <c r="G23" s="3" t="n">
        <f aca="false">G21+G22</f>
        <v>71807511.52</v>
      </c>
      <c r="H23" s="3" t="n">
        <f aca="false">H21+H22</f>
        <v>71682108</v>
      </c>
      <c r="I23" s="3" t="n">
        <f aca="false">I21+I22</f>
        <v>71470510.91</v>
      </c>
      <c r="J23" s="3" t="n">
        <f aca="false">J21+J22</f>
        <v>71348477.84</v>
      </c>
      <c r="K23" s="3" t="n">
        <f aca="false">K21+K22</f>
        <v>71193288.5</v>
      </c>
      <c r="L23" s="3" t="n">
        <f aca="false">L21+L22</f>
        <v>70901880.14</v>
      </c>
      <c r="M23" s="3" t="n">
        <f aca="false">M21+M22</f>
        <v>69763919.42</v>
      </c>
      <c r="N23" s="3" t="n">
        <f aca="false">N21+N22</f>
        <v>69876394.78</v>
      </c>
      <c r="O23" s="3" t="n">
        <f aca="false">O21+O22</f>
        <v>69912021.35</v>
      </c>
      <c r="P23" s="3" t="n">
        <f aca="false">P21+P22</f>
        <v>69677783.82</v>
      </c>
      <c r="Q23" s="3" t="n">
        <f aca="false">Q21+Q22</f>
        <v>67825984.9</v>
      </c>
      <c r="R23" s="3" t="n">
        <f aca="false">R21+R22</f>
        <v>67881315.97</v>
      </c>
      <c r="S23" s="3" t="n">
        <f aca="false">S21+S22</f>
        <v>67780367.22</v>
      </c>
      <c r="T23" s="3" t="n">
        <f aca="false">T21+T22</f>
        <v>67749725.26</v>
      </c>
      <c r="U23" s="3" t="n">
        <f aca="false">U21+U22</f>
        <v>67555338.54</v>
      </c>
      <c r="V23" s="3" t="n">
        <f aca="false">V21+V22</f>
        <v>67116051.91</v>
      </c>
      <c r="W23" s="3" t="n">
        <f aca="false">W21+W22</f>
        <v>67354624.79</v>
      </c>
      <c r="X23" s="3" t="n">
        <f aca="false">E23</f>
        <v>71866939.55</v>
      </c>
      <c r="Y23" s="3" t="n">
        <f aca="false">Q23</f>
        <v>67825984.9</v>
      </c>
      <c r="Z23" s="3" t="n">
        <f aca="false">W23</f>
        <v>67354624.79</v>
      </c>
    </row>
    <row r="24" customFormat="false" ht="15" hidden="false" customHeight="false" outlineLevel="0" collapsed="false">
      <c r="A24" s="0" t="s">
        <v>58</v>
      </c>
      <c r="B24" s="2" t="n">
        <v>32270696.57</v>
      </c>
      <c r="C24" s="2" t="n">
        <v>33181271.45</v>
      </c>
      <c r="D24" s="2" t="n">
        <v>34387487.59</v>
      </c>
      <c r="E24" s="2" t="n">
        <v>35014094.48</v>
      </c>
      <c r="F24" s="2" t="n">
        <v>47820400.41</v>
      </c>
      <c r="G24" s="2" t="n">
        <v>48781385.69</v>
      </c>
      <c r="H24" s="2" t="n">
        <v>49710553.05</v>
      </c>
      <c r="I24" s="2" t="n">
        <v>50967542.77</v>
      </c>
      <c r="J24" s="2" t="n">
        <v>52246258.31</v>
      </c>
      <c r="K24" s="2" t="n">
        <v>53411212.14</v>
      </c>
      <c r="L24" s="2" t="n">
        <v>54525127.94</v>
      </c>
      <c r="M24" s="2" t="n">
        <v>55557707.01</v>
      </c>
      <c r="N24" s="2" t="n">
        <v>56669019.47</v>
      </c>
      <c r="O24" s="2" t="n">
        <v>57938386.63</v>
      </c>
      <c r="P24" s="2" t="n">
        <v>59279800.88</v>
      </c>
      <c r="Q24" s="2" t="n">
        <v>60233929.8</v>
      </c>
      <c r="R24" s="2" t="n">
        <v>61274130.46</v>
      </c>
      <c r="S24" s="2" t="n">
        <v>62389195.11</v>
      </c>
      <c r="T24" s="2" t="n">
        <v>63413243.41</v>
      </c>
      <c r="U24" s="2" t="n">
        <v>64471611.89</v>
      </c>
      <c r="V24" s="2" t="n">
        <v>65741326.33</v>
      </c>
      <c r="W24" s="2" t="n">
        <v>67117307.12</v>
      </c>
      <c r="X24" s="3" t="n">
        <f aca="false">E24</f>
        <v>35014094.48</v>
      </c>
      <c r="Y24" s="3" t="n">
        <f aca="false">Q24</f>
        <v>60233929.8</v>
      </c>
      <c r="Z24" s="3" t="n">
        <f aca="false">W24</f>
        <v>67117307.12</v>
      </c>
    </row>
    <row r="25" customFormat="false" ht="15" hidden="false" customHeight="false" outlineLevel="0" collapsed="false">
      <c r="A25" s="1" t="s">
        <v>59</v>
      </c>
      <c r="B25" s="3" t="n">
        <f aca="false">B23+B24</f>
        <v>105912659.36</v>
      </c>
      <c r="C25" s="3" t="n">
        <f aca="false">C23+C24</f>
        <v>106625918.97</v>
      </c>
      <c r="D25" s="3" t="n">
        <f aca="false">D23+D24</f>
        <v>107608939.36</v>
      </c>
      <c r="E25" s="3" t="n">
        <f aca="false">E23+E24</f>
        <v>106881034.03</v>
      </c>
      <c r="F25" s="3" t="n">
        <f aca="false">F23+F24</f>
        <v>119735877.77</v>
      </c>
      <c r="G25" s="3" t="n">
        <f aca="false">G23+G24</f>
        <v>120588897.21</v>
      </c>
      <c r="H25" s="3" t="n">
        <f aca="false">H23+H24</f>
        <v>121392661.05</v>
      </c>
      <c r="I25" s="3" t="n">
        <f aca="false">I23+I24</f>
        <v>122438053.68</v>
      </c>
      <c r="J25" s="3" t="n">
        <f aca="false">J23+J24</f>
        <v>123594736.15</v>
      </c>
      <c r="K25" s="3" t="n">
        <f aca="false">K23+K24</f>
        <v>124604500.64</v>
      </c>
      <c r="L25" s="3" t="n">
        <f aca="false">L23+L24</f>
        <v>125427008.08</v>
      </c>
      <c r="M25" s="3" t="n">
        <f aca="false">M23+M24</f>
        <v>125321626.43</v>
      </c>
      <c r="N25" s="3" t="n">
        <f aca="false">N23+N24</f>
        <v>126545414.25</v>
      </c>
      <c r="O25" s="3" t="n">
        <f aca="false">O23+O24</f>
        <v>127850407.98</v>
      </c>
      <c r="P25" s="3" t="n">
        <f aca="false">P23+P24</f>
        <v>128957584.7</v>
      </c>
      <c r="Q25" s="3" t="n">
        <f aca="false">Q23+Q24</f>
        <v>128059914.7</v>
      </c>
      <c r="R25" s="3" t="n">
        <f aca="false">R23+R24</f>
        <v>129155446.43</v>
      </c>
      <c r="S25" s="3" t="n">
        <f aca="false">S23+S24</f>
        <v>130169562.33</v>
      </c>
      <c r="T25" s="3" t="n">
        <f aca="false">T23+T24</f>
        <v>131162968.67</v>
      </c>
      <c r="U25" s="3" t="n">
        <f aca="false">U23+U24</f>
        <v>132026950.43</v>
      </c>
      <c r="V25" s="3" t="n">
        <f aca="false">V23+V24</f>
        <v>132857378.24</v>
      </c>
      <c r="W25" s="3" t="n">
        <f aca="false">W23+W24</f>
        <v>134471931.91</v>
      </c>
      <c r="X25" s="3" t="n">
        <f aca="false">E25</f>
        <v>106881034.03</v>
      </c>
      <c r="Y25" s="3" t="n">
        <f aca="false">Q25</f>
        <v>128059914.7</v>
      </c>
      <c r="Z25" s="3" t="n">
        <f aca="false">W25</f>
        <v>134471931.91</v>
      </c>
    </row>
    <row r="27" customFormat="false" ht="15" hidden="false" customHeight="false" outlineLevel="0" collapsed="false">
      <c r="A27" s="1" t="s">
        <v>60</v>
      </c>
      <c r="B27" s="3" t="n">
        <f aca="false">B13-B25</f>
        <v>0</v>
      </c>
      <c r="C27" s="3" t="n">
        <f aca="false">C13-C25</f>
        <v>0</v>
      </c>
      <c r="D27" s="3" t="n">
        <f aca="false">D13-D25</f>
        <v>0</v>
      </c>
      <c r="E27" s="3" t="n">
        <f aca="false">E13-E25</f>
        <v>0</v>
      </c>
      <c r="F27" s="3" t="n">
        <f aca="false">F13-F25</f>
        <v>0</v>
      </c>
      <c r="G27" s="3" t="n">
        <f aca="false">G13-G25</f>
        <v>0</v>
      </c>
      <c r="H27" s="3" t="n">
        <f aca="false">H13-H25</f>
        <v>0</v>
      </c>
      <c r="I27" s="3" t="n">
        <f aca="false">I13-I25</f>
        <v>0</v>
      </c>
      <c r="J27" s="3" t="n">
        <f aca="false">J13-J25</f>
        <v>0</v>
      </c>
      <c r="K27" s="3" t="n">
        <f aca="false">K13-K25</f>
        <v>0</v>
      </c>
      <c r="L27" s="3" t="n">
        <f aca="false">L13-L25</f>
        <v>0</v>
      </c>
      <c r="M27" s="3" t="n">
        <f aca="false">M13-M25</f>
        <v>0</v>
      </c>
      <c r="N27" s="3" t="n">
        <f aca="false">N13-N25</f>
        <v>0</v>
      </c>
      <c r="O27" s="3" t="n">
        <f aca="false">O13-O25</f>
        <v>0</v>
      </c>
      <c r="P27" s="3" t="n">
        <f aca="false">P13-P25</f>
        <v>0</v>
      </c>
      <c r="Q27" s="3" t="n">
        <f aca="false">Q13-Q25</f>
        <v>0</v>
      </c>
      <c r="R27" s="3" t="n">
        <f aca="false">R13-R25</f>
        <v>0</v>
      </c>
      <c r="S27" s="3" t="n">
        <f aca="false">S13-S25</f>
        <v>0</v>
      </c>
      <c r="T27" s="3" t="n">
        <f aca="false">T13-T25</f>
        <v>0</v>
      </c>
      <c r="U27" s="3" t="n">
        <f aca="false">U13-U25</f>
        <v>0</v>
      </c>
      <c r="V27" s="3" t="n">
        <f aca="false">V13-V25</f>
        <v>0</v>
      </c>
      <c r="W27" s="3" t="n">
        <f aca="false">W13-W25</f>
        <v>0</v>
      </c>
      <c r="X27" s="3" t="n">
        <f aca="false">E27</f>
        <v>0</v>
      </c>
      <c r="Y27" s="3" t="n">
        <f aca="false">Q27</f>
        <v>0</v>
      </c>
      <c r="Z27" s="3" t="n">
        <f aca="false">W27</f>
        <v>0</v>
      </c>
    </row>
    <row r="29" customFormat="false" ht="15" hidden="false" customHeight="false" outlineLevel="0" collapsed="false">
      <c r="A29" s="1" t="s">
        <v>61</v>
      </c>
    </row>
    <row r="30" customFormat="false" ht="15" hidden="false" customHeight="false" outlineLevel="0" collapsed="false">
      <c r="A30" s="0" t="s">
        <v>62</v>
      </c>
      <c r="B30" s="2" t="n">
        <v>66953195.96</v>
      </c>
      <c r="C30" s="3" t="n">
        <f aca="false">B34</f>
        <v>66551476.78</v>
      </c>
      <c r="D30" s="3" t="n">
        <f aca="false">C34</f>
        <v>66152167.92</v>
      </c>
      <c r="E30" s="3" t="n">
        <f aca="false">D34</f>
        <v>65755254.91</v>
      </c>
      <c r="F30" s="3" t="n">
        <f aca="false">E34</f>
        <v>65360723.38</v>
      </c>
      <c r="G30" s="3" t="n">
        <f aca="false">F34</f>
        <v>64968559.04</v>
      </c>
      <c r="H30" s="3" t="n">
        <f aca="false">G34</f>
        <v>64578747.69</v>
      </c>
      <c r="I30" s="3" t="n">
        <f aca="false">H34</f>
        <v>64191275.2</v>
      </c>
      <c r="J30" s="3" t="n">
        <f aca="false">I34</f>
        <v>63806127.55</v>
      </c>
      <c r="K30" s="3" t="n">
        <f aca="false">J34</f>
        <v>63423290.78</v>
      </c>
      <c r="L30" s="3" t="n">
        <f aca="false">K34</f>
        <v>63042751.04</v>
      </c>
      <c r="M30" s="3" t="n">
        <f aca="false">L34</f>
        <v>62664494.53</v>
      </c>
      <c r="N30" s="3" t="n">
        <f aca="false">M34</f>
        <v>62288507.56</v>
      </c>
      <c r="O30" s="3" t="n">
        <f aca="false">N34</f>
        <v>61914776.51</v>
      </c>
      <c r="P30" s="3" t="n">
        <f aca="false">O34</f>
        <v>61543287.85</v>
      </c>
      <c r="Q30" s="3" t="n">
        <f aca="false">P34</f>
        <v>61174028.12</v>
      </c>
      <c r="R30" s="3" t="n">
        <f aca="false">Q34</f>
        <v>60806983.95</v>
      </c>
      <c r="S30" s="3" t="n">
        <f aca="false">R34</f>
        <v>60442142.05</v>
      </c>
      <c r="T30" s="3" t="n">
        <f aca="false">S34</f>
        <v>60079489.2</v>
      </c>
      <c r="U30" s="3" t="n">
        <f aca="false">T34</f>
        <v>59719012.26</v>
      </c>
      <c r="V30" s="3" t="n">
        <f aca="false">U34</f>
        <v>59360698.19</v>
      </c>
      <c r="W30" s="3" t="n">
        <f aca="false">V34</f>
        <v>59004534</v>
      </c>
      <c r="X30" s="3" t="n">
        <f aca="false">B30</f>
        <v>66953195.96</v>
      </c>
      <c r="Y30" s="3" t="n">
        <f aca="false">F30</f>
        <v>65360723.38</v>
      </c>
      <c r="Z30" s="3" t="n">
        <f aca="false">R30</f>
        <v>60806983.95</v>
      </c>
    </row>
    <row r="31" customFormat="false" ht="15" hidden="false" customHeight="false" outlineLevel="0" collapsed="false">
      <c r="A31" s="0" t="s">
        <v>63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3" t="n">
        <f aca="false">SUM(B31:E31)</f>
        <v>0</v>
      </c>
      <c r="Y31" s="3" t="n">
        <f aca="false">SUM(F31:Q31)</f>
        <v>0</v>
      </c>
      <c r="Z31" s="3" t="n">
        <f aca="false">SUM(R31:W31)</f>
        <v>0</v>
      </c>
    </row>
    <row r="32" customFormat="false" ht="15" hidden="false" customHeight="false" outlineLevel="0" collapsed="false">
      <c r="A32" s="0" t="s">
        <v>64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3" t="n">
        <f aca="false">SUM(B32:E32)</f>
        <v>0</v>
      </c>
      <c r="Y32" s="3" t="n">
        <f aca="false">SUM(F32:Q32)</f>
        <v>0</v>
      </c>
      <c r="Z32" s="3" t="n">
        <f aca="false">SUM(R32:W32)</f>
        <v>0</v>
      </c>
    </row>
    <row r="33" customFormat="false" ht="15" hidden="false" customHeight="false" outlineLevel="0" collapsed="false">
      <c r="A33" s="0" t="s">
        <v>65</v>
      </c>
      <c r="B33" s="2" t="n">
        <v>401719.18</v>
      </c>
      <c r="C33" s="2" t="n">
        <v>399308.86</v>
      </c>
      <c r="D33" s="2" t="n">
        <v>396913.01</v>
      </c>
      <c r="E33" s="2" t="n">
        <v>394531.53</v>
      </c>
      <c r="F33" s="2" t="n">
        <v>392164.34</v>
      </c>
      <c r="G33" s="2" t="n">
        <v>389811.35</v>
      </c>
      <c r="H33" s="2" t="n">
        <v>387472.49</v>
      </c>
      <c r="I33" s="2" t="n">
        <v>385147.65</v>
      </c>
      <c r="J33" s="2" t="n">
        <v>382836.77</v>
      </c>
      <c r="K33" s="2" t="n">
        <v>380539.74</v>
      </c>
      <c r="L33" s="2" t="n">
        <v>378256.51</v>
      </c>
      <c r="M33" s="2" t="n">
        <v>375986.97</v>
      </c>
      <c r="N33" s="2" t="n">
        <v>373731.05</v>
      </c>
      <c r="O33" s="2" t="n">
        <v>371488.66</v>
      </c>
      <c r="P33" s="2" t="n">
        <v>369259.73</v>
      </c>
      <c r="Q33" s="2" t="n">
        <v>367044.17</v>
      </c>
      <c r="R33" s="2" t="n">
        <v>364841.9</v>
      </c>
      <c r="S33" s="2" t="n">
        <v>362652.85</v>
      </c>
      <c r="T33" s="2" t="n">
        <v>360476.94</v>
      </c>
      <c r="U33" s="2" t="n">
        <v>358314.07</v>
      </c>
      <c r="V33" s="2" t="n">
        <v>356164.19</v>
      </c>
      <c r="W33" s="2" t="n">
        <v>354027.2</v>
      </c>
      <c r="X33" s="3" t="n">
        <f aca="false">SUM(B33:E33)</f>
        <v>1592472.58</v>
      </c>
      <c r="Y33" s="3" t="n">
        <f aca="false">SUM(F33:Q33)</f>
        <v>4553739.43</v>
      </c>
      <c r="Z33" s="3" t="n">
        <f aca="false">SUM(R33:W33)</f>
        <v>2156477.15</v>
      </c>
    </row>
    <row r="34" customFormat="false" ht="15" hidden="false" customHeight="false" outlineLevel="0" collapsed="false">
      <c r="A34" s="0" t="s">
        <v>66</v>
      </c>
      <c r="B34" s="3" t="n">
        <f aca="false">B30+B31+B32-B33</f>
        <v>66551476.78</v>
      </c>
      <c r="C34" s="3" t="n">
        <f aca="false">C30+C31+C32-C33</f>
        <v>66152167.92</v>
      </c>
      <c r="D34" s="3" t="n">
        <f aca="false">D30+D31+D32-D33</f>
        <v>65755254.91</v>
      </c>
      <c r="E34" s="3" t="n">
        <f aca="false">E30+E31+E32-E33</f>
        <v>65360723.38</v>
      </c>
      <c r="F34" s="3" t="n">
        <f aca="false">F30+F31+F32-F33</f>
        <v>64968559.04</v>
      </c>
      <c r="G34" s="3" t="n">
        <f aca="false">G30+G31+G32-G33</f>
        <v>64578747.69</v>
      </c>
      <c r="H34" s="3" t="n">
        <f aca="false">H30+H31+H32-H33</f>
        <v>64191275.2</v>
      </c>
      <c r="I34" s="3" t="n">
        <f aca="false">I30+I31+I32-I33</f>
        <v>63806127.55</v>
      </c>
      <c r="J34" s="3" t="n">
        <f aca="false">J30+J31+J32-J33</f>
        <v>63423290.78</v>
      </c>
      <c r="K34" s="3" t="n">
        <f aca="false">K30+K31+K32-K33</f>
        <v>63042751.04</v>
      </c>
      <c r="L34" s="3" t="n">
        <f aca="false">L30+L31+L32-L33</f>
        <v>62664494.53</v>
      </c>
      <c r="M34" s="3" t="n">
        <f aca="false">M30+M31+M32-M33</f>
        <v>62288507.56</v>
      </c>
      <c r="N34" s="3" t="n">
        <f aca="false">N30+N31+N32-N33</f>
        <v>61914776.51</v>
      </c>
      <c r="O34" s="3" t="n">
        <f aca="false">O30+O31+O32-O33</f>
        <v>61543287.85</v>
      </c>
      <c r="P34" s="3" t="n">
        <f aca="false">P30+P31+P32-P33</f>
        <v>61174028.12</v>
      </c>
      <c r="Q34" s="3" t="n">
        <f aca="false">Q30+Q31+Q32-Q33</f>
        <v>60806983.95</v>
      </c>
      <c r="R34" s="3" t="n">
        <f aca="false">R30+R31+R32-R33</f>
        <v>60442142.05</v>
      </c>
      <c r="S34" s="3" t="n">
        <f aca="false">S30+S31+S32-S33</f>
        <v>60079489.2</v>
      </c>
      <c r="T34" s="3" t="n">
        <f aca="false">T30+T31+T32-T33</f>
        <v>59719012.26</v>
      </c>
      <c r="U34" s="3" t="n">
        <f aca="false">U30+U31+U32-U33</f>
        <v>59360698.19</v>
      </c>
      <c r="V34" s="3" t="n">
        <f aca="false">V30+V31+V32-V33</f>
        <v>59004534</v>
      </c>
      <c r="W34" s="3" t="n">
        <f aca="false">W30+W31+W32-W33</f>
        <v>58650506.8</v>
      </c>
      <c r="X34" s="3" t="n">
        <f aca="false">E34</f>
        <v>65360723.38</v>
      </c>
      <c r="Y34" s="3" t="n">
        <f aca="false">Q34</f>
        <v>60806983.95</v>
      </c>
      <c r="Z34" s="3" t="n">
        <f aca="false">W34</f>
        <v>58650506.8</v>
      </c>
    </row>
    <row r="35" customFormat="false" ht="15" hidden="false" customHeight="false" outlineLevel="0" collapsed="false">
      <c r="A35" s="0" t="s">
        <v>35</v>
      </c>
      <c r="B35" s="2" t="n">
        <v>607001.09</v>
      </c>
      <c r="C35" s="2" t="n">
        <v>603359.08</v>
      </c>
      <c r="D35" s="2" t="n">
        <v>599738.93</v>
      </c>
      <c r="E35" s="2" t="n">
        <v>596140.5</v>
      </c>
      <c r="F35" s="2" t="n">
        <v>592563.65</v>
      </c>
      <c r="G35" s="2" t="n">
        <v>589008.27</v>
      </c>
      <c r="H35" s="2" t="n">
        <v>585474.22</v>
      </c>
      <c r="I35" s="2" t="n">
        <v>581961.38</v>
      </c>
      <c r="J35" s="2" t="n">
        <v>578469.61</v>
      </c>
      <c r="K35" s="2" t="n">
        <v>574998.79</v>
      </c>
      <c r="L35" s="2" t="n">
        <v>571548.8</v>
      </c>
      <c r="M35" s="2" t="n">
        <v>568119.51</v>
      </c>
      <c r="N35" s="2" t="n">
        <v>564710.79</v>
      </c>
      <c r="O35" s="2" t="n">
        <v>561322.52</v>
      </c>
      <c r="P35" s="2" t="n">
        <v>557954.59</v>
      </c>
      <c r="Q35" s="2" t="n">
        <v>554606.86</v>
      </c>
      <c r="R35" s="2" t="n">
        <v>551279.22</v>
      </c>
      <c r="S35" s="2" t="n">
        <v>547971.54</v>
      </c>
      <c r="T35" s="2" t="n">
        <v>544683.72</v>
      </c>
      <c r="U35" s="2" t="n">
        <v>541415.61</v>
      </c>
      <c r="V35" s="2" t="n">
        <v>538167.12</v>
      </c>
      <c r="W35" s="2" t="n">
        <v>534938.12</v>
      </c>
      <c r="X35" s="3" t="n">
        <f aca="false">SUM(B35:E35)</f>
        <v>2406239.6</v>
      </c>
      <c r="Y35" s="3" t="n">
        <f aca="false">SUM(F35:Q35)</f>
        <v>6880738.99</v>
      </c>
      <c r="Z35" s="3" t="n">
        <f aca="false">SUM(R35:W35)</f>
        <v>3258455.33</v>
      </c>
    </row>
    <row r="36" customFormat="false" ht="15" hidden="false" customHeight="false" outlineLevel="0" collapsed="false">
      <c r="A36" s="0" t="s">
        <v>67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50000</v>
      </c>
      <c r="G36" s="2" t="n">
        <v>50000</v>
      </c>
      <c r="H36" s="2" t="n">
        <v>50000</v>
      </c>
      <c r="I36" s="2" t="n">
        <v>50000</v>
      </c>
      <c r="J36" s="2" t="n">
        <v>50000</v>
      </c>
      <c r="K36" s="2" t="n">
        <v>50000</v>
      </c>
      <c r="L36" s="2" t="n">
        <v>50000</v>
      </c>
      <c r="M36" s="2" t="n">
        <v>50000</v>
      </c>
      <c r="N36" s="2" t="n">
        <v>50000</v>
      </c>
      <c r="O36" s="2" t="n">
        <v>50000</v>
      </c>
      <c r="P36" s="2" t="n">
        <v>50000</v>
      </c>
      <c r="Q36" s="2" t="n">
        <v>50000</v>
      </c>
      <c r="R36" s="2" t="n">
        <v>50000</v>
      </c>
      <c r="S36" s="2" t="n">
        <v>50000</v>
      </c>
      <c r="T36" s="2" t="n">
        <v>50000</v>
      </c>
      <c r="U36" s="2" t="n">
        <v>50000</v>
      </c>
      <c r="V36" s="2" t="n">
        <v>50000</v>
      </c>
      <c r="W36" s="2" t="n">
        <v>50000</v>
      </c>
      <c r="X36" s="3" t="n">
        <f aca="false">SUM(B36:E36)</f>
        <v>0</v>
      </c>
      <c r="Y36" s="3" t="n">
        <f aca="false">SUM(F36:Q36)</f>
        <v>600000</v>
      </c>
      <c r="Z36" s="3" t="n">
        <f aca="false">SUM(R36:W36)</f>
        <v>300000</v>
      </c>
    </row>
    <row r="37" customFormat="false" ht="15" hidden="false" customHeight="false" outlineLevel="0" collapsed="false">
      <c r="A37" s="0" t="s">
        <v>68</v>
      </c>
      <c r="B37" s="2" t="n">
        <v>16923196.86</v>
      </c>
      <c r="C37" s="2" t="n">
        <v>16801862.28</v>
      </c>
      <c r="D37" s="2" t="n">
        <v>17107835.45</v>
      </c>
      <c r="E37" s="2" t="n">
        <v>17534489.88</v>
      </c>
      <c r="F37" s="2" t="n">
        <v>18064704.77</v>
      </c>
      <c r="G37" s="2" t="n">
        <v>18667223.5</v>
      </c>
      <c r="H37" s="2" t="n">
        <v>19274233.7</v>
      </c>
      <c r="I37" s="2" t="n">
        <v>20141911.06</v>
      </c>
      <c r="J37" s="2" t="n">
        <v>21021201.77</v>
      </c>
      <c r="K37" s="2" t="n">
        <v>21760157.12</v>
      </c>
      <c r="L37" s="2" t="n">
        <v>22292254.12</v>
      </c>
      <c r="M37" s="2" t="n">
        <v>22768979.33</v>
      </c>
      <c r="N37" s="2" t="n">
        <v>23265421.17</v>
      </c>
      <c r="O37" s="2" t="n">
        <v>23681722.97</v>
      </c>
      <c r="P37" s="2" t="n">
        <v>23852382.1</v>
      </c>
      <c r="Q37" s="2" t="n">
        <v>24227720.79</v>
      </c>
      <c r="R37" s="2" t="n">
        <v>24445420.1</v>
      </c>
      <c r="S37" s="2" t="n">
        <v>24575525.8</v>
      </c>
      <c r="T37" s="2" t="n">
        <v>24641788.18</v>
      </c>
      <c r="U37" s="2" t="n">
        <v>24386036.98</v>
      </c>
      <c r="V37" s="2" t="n">
        <v>24334297.62</v>
      </c>
      <c r="W37" s="2" t="n">
        <v>24529022.34</v>
      </c>
      <c r="X37" s="3" t="n">
        <f aca="false">E37</f>
        <v>17534489.88</v>
      </c>
      <c r="Y37" s="3" t="n">
        <f aca="false">Q37</f>
        <v>24227720.79</v>
      </c>
      <c r="Z37" s="3" t="n">
        <f aca="false">W37</f>
        <v>24529022.34</v>
      </c>
    </row>
    <row r="38" customFormat="false" ht="15" hidden="false" customHeight="false" outlineLevel="0" collapsed="false">
      <c r="A38" s="0" t="s">
        <v>69</v>
      </c>
      <c r="B38" s="4" t="n">
        <f aca="false">IFERROR(B34/B37,"")</f>
        <v>3.9325593935093</v>
      </c>
      <c r="C38" s="4" t="n">
        <f aca="false">IFERROR(C34/C37,"")</f>
        <v>3.93719260505687</v>
      </c>
      <c r="D38" s="4" t="n">
        <f aca="false">IFERROR(D34/D37,"")</f>
        <v>3.8435753665143</v>
      </c>
      <c r="E38" s="4" t="n">
        <f aca="false">IFERROR(E34/E37,"")</f>
        <v>3.72755203187012</v>
      </c>
      <c r="F38" s="4" t="n">
        <f aca="false">IFERROR(F34/F37,"")</f>
        <v>3.59643624776493</v>
      </c>
      <c r="G38" s="4" t="n">
        <f aca="false">IFERROR(G34/G37,"")</f>
        <v>3.4594725718048</v>
      </c>
      <c r="H38" s="4" t="n">
        <f aca="false">IFERROR(H34/H37,"")</f>
        <v>3.33041905577808</v>
      </c>
      <c r="I38" s="4" t="n">
        <f aca="false">IFERROR(I34/I37,"")</f>
        <v>3.16782887978853</v>
      </c>
      <c r="J38" s="4" t="n">
        <f aca="false">IFERROR(J34/J37,"")</f>
        <v>3.01711060451897</v>
      </c>
      <c r="K38" s="4" t="n">
        <f aca="false">IFERROR(K34/K37,"")</f>
        <v>2.89716433076932</v>
      </c>
      <c r="L38" s="4" t="n">
        <f aca="false">IFERROR(L34/L37,"")</f>
        <v>2.81104343206725</v>
      </c>
      <c r="M38" s="4" t="n">
        <f aca="false">IFERROR(M34/M37,"")</f>
        <v>2.73567412299109</v>
      </c>
      <c r="N38" s="4" t="n">
        <f aca="false">IFERROR(N34/N37,"")</f>
        <v>2.66123600589862</v>
      </c>
      <c r="O38" s="4" t="n">
        <f aca="false">IFERROR(O34/O37,"")</f>
        <v>2.59876732482527</v>
      </c>
      <c r="P38" s="4" t="n">
        <f aca="false">IFERROR(P34/P37,"")</f>
        <v>2.56469261072252</v>
      </c>
      <c r="Q38" s="4" t="n">
        <f aca="false">IFERROR(Q34/Q37,"")</f>
        <v>2.50981033160569</v>
      </c>
      <c r="R38" s="4" t="n">
        <f aca="false">IFERROR(R34/R37,"")</f>
        <v>2.47253439714869</v>
      </c>
      <c r="S38" s="4" t="n">
        <f aca="false">IFERROR(S34/S37,"")</f>
        <v>2.44468784468489</v>
      </c>
      <c r="T38" s="4" t="n">
        <f aca="false">IFERROR(T34/T37,"")</f>
        <v>2.42348533409072</v>
      </c>
      <c r="U38" s="4" t="n">
        <f aca="false">IFERROR(U34/U37,"")</f>
        <v>2.43420848736858</v>
      </c>
      <c r="V38" s="4" t="n">
        <f aca="false">IFERROR(V34/V37,"")</f>
        <v>2.42474777457744</v>
      </c>
      <c r="W38" s="4" t="n">
        <f aca="false">IFERROR(W34/W37,"")</f>
        <v>2.39106581530391</v>
      </c>
      <c r="X38" s="4" t="n">
        <f aca="false">E38</f>
        <v>3.72755203187012</v>
      </c>
      <c r="Y38" s="4" t="n">
        <f aca="false">Q38</f>
        <v>2.50981033160569</v>
      </c>
      <c r="Z38" s="4" t="n">
        <f aca="false">W38</f>
        <v>2.39106581530391</v>
      </c>
    </row>
    <row r="39" customFormat="false" ht="15" hidden="false" customHeight="false" outlineLevel="0" collapsed="false">
      <c r="A39" s="0" t="s">
        <v>70</v>
      </c>
      <c r="B39" s="5" t="n">
        <v>5.5</v>
      </c>
      <c r="C39" s="5" t="n">
        <v>5.5</v>
      </c>
      <c r="D39" s="5" t="n">
        <v>5.5</v>
      </c>
      <c r="E39" s="5" t="n">
        <v>5.5</v>
      </c>
      <c r="F39" s="5" t="n">
        <v>5.5</v>
      </c>
      <c r="G39" s="5" t="n">
        <v>5.5</v>
      </c>
      <c r="H39" s="5" t="n">
        <v>5.5</v>
      </c>
      <c r="I39" s="5" t="n">
        <v>5.5</v>
      </c>
      <c r="J39" s="5" t="n">
        <v>5.5</v>
      </c>
      <c r="K39" s="5" t="n">
        <v>5.5</v>
      </c>
      <c r="L39" s="5" t="n">
        <v>5.5</v>
      </c>
      <c r="M39" s="5" t="n">
        <v>5.5</v>
      </c>
      <c r="N39" s="5" t="n">
        <v>5.5</v>
      </c>
      <c r="O39" s="5" t="n">
        <v>5.5</v>
      </c>
      <c r="P39" s="5" t="n">
        <v>5.5</v>
      </c>
      <c r="Q39" s="5" t="n">
        <v>5.5</v>
      </c>
      <c r="R39" s="5" t="n">
        <v>5.5</v>
      </c>
      <c r="S39" s="5" t="n">
        <v>5.5</v>
      </c>
      <c r="T39" s="5" t="n">
        <v>5.5</v>
      </c>
      <c r="U39" s="5" t="n">
        <v>5.5</v>
      </c>
      <c r="V39" s="5" t="n">
        <v>5.5</v>
      </c>
      <c r="W39" s="5" t="n">
        <v>5.5</v>
      </c>
      <c r="X39" s="4" t="n">
        <f aca="false">E39</f>
        <v>5.5</v>
      </c>
      <c r="Y39" s="4" t="n">
        <f aca="false">Q39</f>
        <v>5.5</v>
      </c>
      <c r="Z39" s="4" t="n">
        <f aca="false">W39</f>
        <v>5.5</v>
      </c>
    </row>
    <row r="40" customFormat="false" ht="15" hidden="false" customHeight="false" outlineLevel="0" collapsed="false">
      <c r="A40" s="0" t="s">
        <v>71</v>
      </c>
      <c r="B40" s="6" t="n">
        <v>0.006</v>
      </c>
      <c r="C40" s="6" t="n">
        <v>0.006</v>
      </c>
      <c r="D40" s="6" t="n">
        <v>0.006</v>
      </c>
      <c r="E40" s="6" t="n">
        <v>0.006</v>
      </c>
      <c r="F40" s="6" t="n">
        <v>0.006</v>
      </c>
      <c r="G40" s="6" t="n">
        <v>0.006</v>
      </c>
      <c r="H40" s="6" t="n">
        <v>0.006</v>
      </c>
      <c r="I40" s="6" t="n">
        <v>0.006</v>
      </c>
      <c r="J40" s="6" t="n">
        <v>0.006</v>
      </c>
      <c r="K40" s="6" t="n">
        <v>0.006</v>
      </c>
      <c r="L40" s="6" t="n">
        <v>0.006</v>
      </c>
      <c r="M40" s="6" t="n">
        <v>0.006</v>
      </c>
      <c r="N40" s="6" t="n">
        <v>0.006</v>
      </c>
      <c r="O40" s="6" t="n">
        <v>0.006</v>
      </c>
      <c r="P40" s="6" t="n">
        <v>0.006</v>
      </c>
      <c r="Q40" s="6" t="n">
        <v>0.006</v>
      </c>
      <c r="R40" s="6" t="n">
        <v>0.006</v>
      </c>
      <c r="S40" s="6" t="n">
        <v>0.006</v>
      </c>
      <c r="T40" s="6" t="n">
        <v>0.006</v>
      </c>
      <c r="U40" s="6" t="n">
        <v>0.006</v>
      </c>
      <c r="V40" s="6" t="n">
        <v>0.006</v>
      </c>
      <c r="W40" s="6" t="n">
        <v>0.006</v>
      </c>
      <c r="X40" s="7" t="n">
        <f aca="false">E40</f>
        <v>0.006</v>
      </c>
      <c r="Y40" s="7" t="n">
        <f aca="false">Q40</f>
        <v>0.006</v>
      </c>
      <c r="Z40" s="7" t="n">
        <f aca="false">W40</f>
        <v>0.006</v>
      </c>
    </row>
    <row r="42" customFormat="false" ht="15" hidden="false" customHeight="false" outlineLevel="0" collapsed="false">
      <c r="A42" s="1" t="s">
        <v>72</v>
      </c>
    </row>
    <row r="43" customFormat="false" ht="15" hidden="false" customHeight="false" outlineLevel="0" collapsed="false">
      <c r="A43" s="0" t="s">
        <v>73</v>
      </c>
      <c r="B43" s="2" t="n">
        <v>0</v>
      </c>
      <c r="C43" s="2" t="n">
        <v>0</v>
      </c>
      <c r="D43" s="2" t="n">
        <v>0</v>
      </c>
      <c r="E43" s="2" t="n">
        <v>0</v>
      </c>
      <c r="F43" s="3" t="n">
        <f aca="false">F35</f>
        <v>592563.65</v>
      </c>
      <c r="G43" s="3" t="n">
        <f aca="false">G35</f>
        <v>589008.27</v>
      </c>
      <c r="H43" s="3" t="n">
        <f aca="false">H35</f>
        <v>585474.22</v>
      </c>
      <c r="I43" s="3" t="n">
        <f aca="false">I35</f>
        <v>581961.38</v>
      </c>
      <c r="J43" s="3" t="n">
        <f aca="false">J35</f>
        <v>578469.61</v>
      </c>
      <c r="K43" s="3" t="n">
        <f aca="false">K35</f>
        <v>574998.79</v>
      </c>
      <c r="L43" s="3" t="n">
        <f aca="false">L35</f>
        <v>571548.8</v>
      </c>
      <c r="M43" s="3" t="n">
        <f aca="false">M35</f>
        <v>568119.51</v>
      </c>
      <c r="N43" s="3" t="n">
        <f aca="false">N35</f>
        <v>564710.79</v>
      </c>
      <c r="O43" s="3" t="n">
        <f aca="false">O35</f>
        <v>561322.52</v>
      </c>
      <c r="P43" s="3" t="n">
        <f aca="false">P35</f>
        <v>557954.59</v>
      </c>
      <c r="Q43" s="3" t="n">
        <f aca="false">Q35</f>
        <v>554606.86</v>
      </c>
      <c r="R43" s="3" t="n">
        <f aca="false">R35</f>
        <v>551279.22</v>
      </c>
      <c r="S43" s="3" t="n">
        <f aca="false">S35</f>
        <v>547971.54</v>
      </c>
      <c r="T43" s="3" t="n">
        <f aca="false">T35</f>
        <v>544683.72</v>
      </c>
      <c r="U43" s="3" t="n">
        <f aca="false">U35</f>
        <v>541415.61</v>
      </c>
      <c r="V43" s="3" t="n">
        <f aca="false">V35</f>
        <v>538167.12</v>
      </c>
      <c r="W43" s="3" t="n">
        <f aca="false">W35</f>
        <v>534938.12</v>
      </c>
      <c r="X43" s="3" t="n">
        <f aca="false">SUM(B43:E43)</f>
        <v>0</v>
      </c>
      <c r="Y43" s="3" t="n">
        <f aca="false">SUM(F43:Q43)</f>
        <v>6880738.99</v>
      </c>
      <c r="Z43" s="3" t="n">
        <f aca="false">SUM(R43:W43)</f>
        <v>3258455.33</v>
      </c>
    </row>
    <row r="44" customFormat="false" ht="15" hidden="false" customHeight="false" outlineLevel="0" collapsed="false">
      <c r="A44" s="0" t="s">
        <v>74</v>
      </c>
      <c r="B44" s="2" t="n">
        <v>0</v>
      </c>
      <c r="C44" s="2" t="n">
        <v>0</v>
      </c>
      <c r="D44" s="2" t="n">
        <v>0</v>
      </c>
      <c r="E44" s="2" t="n">
        <v>0</v>
      </c>
      <c r="F44" s="3" t="n">
        <f aca="false">F33</f>
        <v>392164.34</v>
      </c>
      <c r="G44" s="3" t="n">
        <f aca="false">G33</f>
        <v>389811.35</v>
      </c>
      <c r="H44" s="3" t="n">
        <f aca="false">H33</f>
        <v>387472.49</v>
      </c>
      <c r="I44" s="3" t="n">
        <f aca="false">I33</f>
        <v>385147.65</v>
      </c>
      <c r="J44" s="3" t="n">
        <f aca="false">J33</f>
        <v>382836.77</v>
      </c>
      <c r="K44" s="3" t="n">
        <f aca="false">K33</f>
        <v>380539.74</v>
      </c>
      <c r="L44" s="3" t="n">
        <f aca="false">L33</f>
        <v>378256.51</v>
      </c>
      <c r="M44" s="3" t="n">
        <f aca="false">M33</f>
        <v>375986.97</v>
      </c>
      <c r="N44" s="3" t="n">
        <f aca="false">N33</f>
        <v>373731.05</v>
      </c>
      <c r="O44" s="3" t="n">
        <f aca="false">O33</f>
        <v>371488.66</v>
      </c>
      <c r="P44" s="3" t="n">
        <f aca="false">P33</f>
        <v>369259.73</v>
      </c>
      <c r="Q44" s="3" t="n">
        <f aca="false">Q33</f>
        <v>367044.17</v>
      </c>
      <c r="R44" s="3" t="n">
        <f aca="false">R33</f>
        <v>364841.9</v>
      </c>
      <c r="S44" s="3" t="n">
        <f aca="false">S33</f>
        <v>362652.85</v>
      </c>
      <c r="T44" s="3" t="n">
        <f aca="false">T33</f>
        <v>360476.94</v>
      </c>
      <c r="U44" s="3" t="n">
        <f aca="false">U33</f>
        <v>358314.07</v>
      </c>
      <c r="V44" s="3" t="n">
        <f aca="false">V33</f>
        <v>356164.19</v>
      </c>
      <c r="W44" s="3" t="n">
        <f aca="false">W33</f>
        <v>354027.2</v>
      </c>
      <c r="X44" s="3" t="n">
        <f aca="false">SUM(B44:E44)</f>
        <v>0</v>
      </c>
      <c r="Y44" s="3" t="n">
        <f aca="false">SUM(F44:Q44)</f>
        <v>4553739.43</v>
      </c>
      <c r="Z44" s="3" t="n">
        <f aca="false">SUM(R44:W44)</f>
        <v>2156477.15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6" min="2" style="0" width="14"/>
  </cols>
  <sheetData>
    <row r="1" customFormat="false" ht="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0" t="s">
        <v>76</v>
      </c>
    </row>
    <row r="6" customFormat="false" ht="15" hidden="false" customHeight="false" outlineLevel="0" collapsed="false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</row>
    <row r="7" customFormat="false" ht="15" hidden="false" customHeight="false" outlineLevel="0" collapsed="false">
      <c r="A7" s="0" t="s">
        <v>77</v>
      </c>
      <c r="B7" s="2" t="n">
        <v>16939297.7</v>
      </c>
      <c r="C7" s="3" t="n">
        <f aca="false">B9</f>
        <v>16887933.11</v>
      </c>
      <c r="D7" s="3" t="n">
        <f aca="false">C9</f>
        <v>16819879.83</v>
      </c>
      <c r="E7" s="3" t="n">
        <f aca="false">D9</f>
        <v>16613479.95</v>
      </c>
      <c r="F7" s="3" t="n">
        <f aca="false">E9</f>
        <v>19110968.37</v>
      </c>
      <c r="G7" s="3" t="n">
        <f aca="false">F9</f>
        <v>27429982.18</v>
      </c>
      <c r="H7" s="3" t="n">
        <f aca="false">G9</f>
        <v>27086752.26</v>
      </c>
      <c r="I7" s="3" t="n">
        <f aca="false">H9</f>
        <v>27330131.68</v>
      </c>
      <c r="J7" s="3" t="n">
        <f aca="false">I9</f>
        <v>27338254.88</v>
      </c>
      <c r="K7" s="3" t="n">
        <f aca="false">J9</f>
        <v>27716473.45</v>
      </c>
      <c r="L7" s="3" t="n">
        <f aca="false">K9</f>
        <v>28420879.07</v>
      </c>
      <c r="M7" s="3" t="n">
        <f aca="false">L9</f>
        <v>29076744.33</v>
      </c>
      <c r="N7" s="3" t="n">
        <f aca="false">M9</f>
        <v>31213672.91</v>
      </c>
      <c r="O7" s="3" t="n">
        <f aca="false">N9</f>
        <v>30803186.31</v>
      </c>
      <c r="P7" s="3" t="n">
        <f aca="false">O9</f>
        <v>30952076.81</v>
      </c>
      <c r="Q7" s="3" t="n">
        <f aca="false">P9</f>
        <v>31633296.48</v>
      </c>
      <c r="R7" s="3" t="n">
        <f aca="false">Q9</f>
        <v>35061624.57</v>
      </c>
      <c r="S7" s="3" t="n">
        <f aca="false">R9</f>
        <v>35074536.02</v>
      </c>
      <c r="T7" s="3" t="n">
        <f aca="false">S9</f>
        <v>35178946.86</v>
      </c>
      <c r="U7" s="3" t="n">
        <f aca="false">T9</f>
        <v>35565939.38</v>
      </c>
      <c r="V7" s="3" t="n">
        <f aca="false">U9</f>
        <v>36203497.07</v>
      </c>
      <c r="W7" s="3" t="n">
        <f aca="false">V9</f>
        <v>36850610.79</v>
      </c>
      <c r="X7" s="3" t="n">
        <f aca="false">B7</f>
        <v>16939297.7</v>
      </c>
      <c r="Y7" s="3" t="n">
        <f aca="false">F7</f>
        <v>19110968.37</v>
      </c>
      <c r="Z7" s="3" t="n">
        <f aca="false">R7</f>
        <v>35061624.57</v>
      </c>
    </row>
    <row r="8" customFormat="false" ht="15" hidden="false" customHeight="false" outlineLevel="0" collapsed="false">
      <c r="A8" s="0" t="s">
        <v>78</v>
      </c>
      <c r="B8" s="3" t="n">
        <f aca="false">B12+B18+B20</f>
        <v>-51364.59</v>
      </c>
      <c r="C8" s="3" t="n">
        <f aca="false">C12+C18+C20</f>
        <v>-68053.2799999998</v>
      </c>
      <c r="D8" s="3" t="n">
        <f aca="false">D12+D18+D20</f>
        <v>-206399.88</v>
      </c>
      <c r="E8" s="3" t="n">
        <f aca="false">E12+E18+E20</f>
        <v>2497488.42</v>
      </c>
      <c r="F8" s="3" t="n">
        <f aca="false">F12+F18+F20</f>
        <v>8319013.81</v>
      </c>
      <c r="G8" s="3" t="n">
        <f aca="false">G12+G18+G20</f>
        <v>-343229.92</v>
      </c>
      <c r="H8" s="3" t="n">
        <f aca="false">H12+H18+H20</f>
        <v>243379.42</v>
      </c>
      <c r="I8" s="3" t="n">
        <f aca="false">I12+I18+I20</f>
        <v>8123.20000000007</v>
      </c>
      <c r="J8" s="3" t="n">
        <f aca="false">J12+J18+J20</f>
        <v>378218.57</v>
      </c>
      <c r="K8" s="3" t="n">
        <f aca="false">K12+K18+K20</f>
        <v>704405.62</v>
      </c>
      <c r="L8" s="3" t="n">
        <f aca="false">L12+L18+L20</f>
        <v>655865.26</v>
      </c>
      <c r="M8" s="3" t="n">
        <f aca="false">M12+M18+M20</f>
        <v>2136928.58</v>
      </c>
      <c r="N8" s="3" t="n">
        <f aca="false">N12+N18+N20</f>
        <v>-410486.6</v>
      </c>
      <c r="O8" s="3" t="n">
        <f aca="false">O12+O18+O20</f>
        <v>148890.5</v>
      </c>
      <c r="P8" s="3" t="n">
        <f aca="false">P12+P18+P20</f>
        <v>681219.67</v>
      </c>
      <c r="Q8" s="3" t="n">
        <f aca="false">Q12+Q18+Q20</f>
        <v>3428328.09</v>
      </c>
      <c r="R8" s="3" t="n">
        <f aca="false">R12+R18+R20</f>
        <v>12911.4500000001</v>
      </c>
      <c r="S8" s="3" t="n">
        <f aca="false">S12+S18+S20</f>
        <v>104410.84</v>
      </c>
      <c r="T8" s="3" t="n">
        <f aca="false">T12+T18+T20</f>
        <v>386992.52</v>
      </c>
      <c r="U8" s="3" t="n">
        <f aca="false">U12+U18+U20</f>
        <v>637557.69</v>
      </c>
      <c r="V8" s="3" t="n">
        <f aca="false">V12+V18+V20</f>
        <v>647113.72</v>
      </c>
      <c r="W8" s="3" t="n">
        <f aca="false">W12+W18+W20</f>
        <v>-405425.28</v>
      </c>
      <c r="X8" s="3" t="n">
        <f aca="false">SUM(B8:E8)</f>
        <v>2171670.67</v>
      </c>
      <c r="Y8" s="3" t="n">
        <f aca="false">SUM(F8:Q8)</f>
        <v>15950656.2</v>
      </c>
      <c r="Z8" s="3" t="n">
        <f aca="false">SUM(R8:W8)</f>
        <v>1383560.94</v>
      </c>
    </row>
    <row r="9" customFormat="false" ht="15" hidden="false" customHeight="false" outlineLevel="0" collapsed="false">
      <c r="A9" s="1" t="s">
        <v>79</v>
      </c>
      <c r="B9" s="3" t="n">
        <f aca="false">B7+B8</f>
        <v>16887933.11</v>
      </c>
      <c r="C9" s="3" t="n">
        <f aca="false">C7+C8</f>
        <v>16819879.83</v>
      </c>
      <c r="D9" s="3" t="n">
        <f aca="false">D7+D8</f>
        <v>16613479.95</v>
      </c>
      <c r="E9" s="3" t="n">
        <f aca="false">E7+E8</f>
        <v>19110968.37</v>
      </c>
      <c r="F9" s="3" t="n">
        <f aca="false">F7+F8</f>
        <v>27429982.18</v>
      </c>
      <c r="G9" s="3" t="n">
        <f aca="false">G7+G8</f>
        <v>27086752.26</v>
      </c>
      <c r="H9" s="3" t="n">
        <f aca="false">H7+H8</f>
        <v>27330131.68</v>
      </c>
      <c r="I9" s="3" t="n">
        <f aca="false">I7+I8</f>
        <v>27338254.88</v>
      </c>
      <c r="J9" s="3" t="n">
        <f aca="false">J7+J8</f>
        <v>27716473.45</v>
      </c>
      <c r="K9" s="3" t="n">
        <f aca="false">K7+K8</f>
        <v>28420879.07</v>
      </c>
      <c r="L9" s="3" t="n">
        <f aca="false">L7+L8</f>
        <v>29076744.33</v>
      </c>
      <c r="M9" s="3" t="n">
        <f aca="false">M7+M8</f>
        <v>31213672.91</v>
      </c>
      <c r="N9" s="3" t="n">
        <f aca="false">N7+N8</f>
        <v>30803186.31</v>
      </c>
      <c r="O9" s="3" t="n">
        <f aca="false">O7+O8</f>
        <v>30952076.81</v>
      </c>
      <c r="P9" s="3" t="n">
        <f aca="false">P7+P8</f>
        <v>31633296.48</v>
      </c>
      <c r="Q9" s="3" t="n">
        <f aca="false">Q7+Q8</f>
        <v>35061624.57</v>
      </c>
      <c r="R9" s="3" t="n">
        <f aca="false">R7+R8</f>
        <v>35074536.02</v>
      </c>
      <c r="S9" s="3" t="n">
        <f aca="false">S7+S8</f>
        <v>35178946.86</v>
      </c>
      <c r="T9" s="3" t="n">
        <f aca="false">T7+T8</f>
        <v>35565939.38</v>
      </c>
      <c r="U9" s="3" t="n">
        <f aca="false">U7+U8</f>
        <v>36203497.07</v>
      </c>
      <c r="V9" s="3" t="n">
        <f aca="false">V7+V8</f>
        <v>36850610.79</v>
      </c>
      <c r="W9" s="3" t="n">
        <f aca="false">W7+W8</f>
        <v>36445185.51</v>
      </c>
      <c r="X9" s="3" t="n">
        <f aca="false">E9</f>
        <v>19110968.37</v>
      </c>
      <c r="Y9" s="3" t="n">
        <f aca="false">Q9</f>
        <v>35061624.57</v>
      </c>
      <c r="Z9" s="3" t="n">
        <f aca="false">W9</f>
        <v>36445185.51</v>
      </c>
    </row>
    <row r="11" customFormat="false" ht="15" hidden="false" customHeight="false" outlineLevel="0" collapsed="false">
      <c r="A11" s="0" t="s">
        <v>31</v>
      </c>
      <c r="B11" s="2" t="n">
        <v>1526910.02</v>
      </c>
      <c r="C11" s="2" t="n">
        <v>1780865.35</v>
      </c>
      <c r="D11" s="2" t="n">
        <v>2104190.6</v>
      </c>
      <c r="E11" s="2" t="n">
        <v>1452361.1</v>
      </c>
      <c r="F11" s="2" t="n">
        <v>1705037.68</v>
      </c>
      <c r="G11" s="2" t="n">
        <v>1875088.82</v>
      </c>
      <c r="H11" s="2" t="n">
        <v>1840204.33</v>
      </c>
      <c r="I11" s="2" t="n">
        <v>2197245.42</v>
      </c>
      <c r="J11" s="2" t="n">
        <v>2221162.87</v>
      </c>
      <c r="K11" s="2" t="n">
        <v>2095934.44</v>
      </c>
      <c r="L11" s="2" t="n">
        <v>2036086.04</v>
      </c>
      <c r="M11" s="2" t="n">
        <v>1933892.66</v>
      </c>
      <c r="N11" s="2" t="n">
        <v>2023351.86</v>
      </c>
      <c r="O11" s="2" t="n">
        <v>2197167.15</v>
      </c>
      <c r="P11" s="2" t="n">
        <v>2274849.73</v>
      </c>
      <c r="Q11" s="2" t="n">
        <v>1827699.79</v>
      </c>
      <c r="R11" s="2" t="n">
        <v>1922736.99</v>
      </c>
      <c r="S11" s="2" t="n">
        <v>2005194.52</v>
      </c>
      <c r="T11" s="2" t="n">
        <v>1906466.71</v>
      </c>
      <c r="U11" s="2" t="n">
        <v>1941494.22</v>
      </c>
      <c r="V11" s="2" t="n">
        <v>2169423.51</v>
      </c>
      <c r="W11" s="2" t="n">
        <v>2290659.16</v>
      </c>
      <c r="X11" s="3" t="n">
        <f aca="false">SUM(B11:E11)</f>
        <v>6864327.07</v>
      </c>
      <c r="Y11" s="3" t="n">
        <f aca="false">SUM(F11:Q11)</f>
        <v>24227720.79</v>
      </c>
      <c r="Z11" s="3" t="n">
        <f aca="false">SUM(R11:W11)</f>
        <v>12235975.11</v>
      </c>
    </row>
    <row r="12" customFormat="false" ht="15" hidden="false" customHeight="false" outlineLevel="0" collapsed="false">
      <c r="A12" s="0" t="s">
        <v>80</v>
      </c>
      <c r="B12" s="3" t="n">
        <f aca="false">B11-B13-B14-B15</f>
        <v>543135.61</v>
      </c>
      <c r="C12" s="3" t="n">
        <f aca="false">C11-C13-C14-C15</f>
        <v>531305.31</v>
      </c>
      <c r="D12" s="3" t="n">
        <f aca="false">D11-D13-D14-D15</f>
        <v>401144.98</v>
      </c>
      <c r="E12" s="3" t="n">
        <f aca="false">E11-E13-E14-E15</f>
        <v>3073049.89</v>
      </c>
      <c r="F12" s="3" t="n">
        <f aca="false">F11-F13-F14-F15</f>
        <v>-96386.44</v>
      </c>
      <c r="G12" s="3" t="n">
        <f aca="false">G11-G13-G14-G15</f>
        <v>248276.85</v>
      </c>
      <c r="H12" s="3" t="n">
        <f aca="false">H11-H13-H14-H15</f>
        <v>837173.05</v>
      </c>
      <c r="I12" s="3" t="n">
        <f aca="false">I11-I13-I14-I15</f>
        <v>608522.21</v>
      </c>
      <c r="J12" s="3" t="n">
        <f aca="false">J11-J13-J14-J15</f>
        <v>982141.09</v>
      </c>
      <c r="K12" s="3" t="n">
        <f aca="false">K11-K13-K14-K15</f>
        <v>1308125.47</v>
      </c>
      <c r="L12" s="3" t="n">
        <f aca="false">L11-L13-L14-L15</f>
        <v>1255994.25</v>
      </c>
      <c r="M12" s="3" t="n">
        <f aca="false">M11-M13-M14-M15</f>
        <v>2720143.75</v>
      </c>
      <c r="N12" s="3" t="n">
        <f aca="false">N11-N13-N14-N15</f>
        <v>181610.28</v>
      </c>
      <c r="O12" s="3" t="n">
        <f aca="false">O11-O13-O14-O15</f>
        <v>747914.06</v>
      </c>
      <c r="P12" s="3" t="n">
        <f aca="false">P11-P13-P14-P15</f>
        <v>1282780.14</v>
      </c>
      <c r="Q12" s="3" t="n">
        <f aca="false">Q11-Q13-Q14-Q15</f>
        <v>3993202.05</v>
      </c>
      <c r="R12" s="3" t="n">
        <f aca="false">R11-R13-R14-R15</f>
        <v>583331.11</v>
      </c>
      <c r="S12" s="3" t="n">
        <f aca="false">S11-S13-S14-S15</f>
        <v>679716.8</v>
      </c>
      <c r="T12" s="3" t="n">
        <f aca="false">T11-T13-T14-T15</f>
        <v>964594</v>
      </c>
      <c r="U12" s="3" t="n">
        <f aca="false">U11-U13-U14-U15</f>
        <v>1215018.85</v>
      </c>
      <c r="V12" s="3" t="n">
        <f aca="false">V11-V13-V14-V15</f>
        <v>1226530.7</v>
      </c>
      <c r="W12" s="3" t="n">
        <f aca="false">W11-W13-W14-W15</f>
        <v>185513.13</v>
      </c>
      <c r="X12" s="3" t="n">
        <f aca="false">SUM(B12:E12)</f>
        <v>4548635.79</v>
      </c>
      <c r="Y12" s="3" t="n">
        <f aca="false">SUM(F12:Q12)</f>
        <v>14069496.76</v>
      </c>
      <c r="Z12" s="3" t="n">
        <f aca="false">SUM(R12:W12)</f>
        <v>4854704.59</v>
      </c>
    </row>
    <row r="13" customFormat="false" ht="15" hidden="false" customHeight="false" outlineLevel="0" collapsed="false">
      <c r="A13" s="0" t="s">
        <v>81</v>
      </c>
      <c r="B13" s="2" t="n">
        <v>262255.07</v>
      </c>
      <c r="C13" s="2" t="n">
        <v>512636.06</v>
      </c>
      <c r="D13" s="2" t="n">
        <v>945492.39</v>
      </c>
      <c r="E13" s="2" t="n">
        <v>-2325756.37</v>
      </c>
      <c r="F13" s="2" t="n">
        <v>1080982.64</v>
      </c>
      <c r="G13" s="2" t="n">
        <v>897172.04</v>
      </c>
      <c r="H13" s="2" t="n">
        <v>279541.74</v>
      </c>
      <c r="I13" s="2" t="n">
        <v>841968.42</v>
      </c>
      <c r="J13" s="2" t="n">
        <v>493964.95</v>
      </c>
      <c r="K13" s="2" t="n">
        <v>55615.1</v>
      </c>
      <c r="L13" s="2" t="n">
        <v>55836.54</v>
      </c>
      <c r="M13" s="2" t="n">
        <v>-1499412.55</v>
      </c>
      <c r="N13" s="2" t="n">
        <v>1125279.4</v>
      </c>
      <c r="O13" s="2" t="n">
        <v>723143.03</v>
      </c>
      <c r="P13" s="2" t="n">
        <v>263501.27</v>
      </c>
      <c r="Q13" s="2" t="n">
        <v>-2857186.6</v>
      </c>
      <c r="R13" s="2" t="n">
        <v>643921.39</v>
      </c>
      <c r="S13" s="2" t="n">
        <v>627116.59</v>
      </c>
      <c r="T13" s="2" t="n">
        <v>254203.99</v>
      </c>
      <c r="U13" s="2" t="n">
        <v>39447.69</v>
      </c>
      <c r="V13" s="2" t="n">
        <v>242018.93</v>
      </c>
      <c r="W13" s="2" t="n">
        <v>1398408.47</v>
      </c>
      <c r="X13" s="3" t="n">
        <f aca="false">SUM(B13:E13)</f>
        <v>-605372.85</v>
      </c>
      <c r="Y13" s="3" t="n">
        <f aca="false">SUM(F13:Q13)</f>
        <v>1460405.98</v>
      </c>
      <c r="Z13" s="3" t="n">
        <f aca="false">SUM(R13:W13)</f>
        <v>3205117.06</v>
      </c>
    </row>
    <row r="14" customFormat="false" ht="15" hidden="false" customHeight="false" outlineLevel="0" collapsed="false">
      <c r="A14" s="0" t="s">
        <v>82</v>
      </c>
      <c r="B14" s="2" t="n">
        <v>114518.25</v>
      </c>
      <c r="C14" s="2" t="n">
        <v>133564.9</v>
      </c>
      <c r="D14" s="2" t="n">
        <v>157814.3</v>
      </c>
      <c r="E14" s="2" t="n">
        <v>108927.08</v>
      </c>
      <c r="F14" s="2" t="n">
        <v>127877.83</v>
      </c>
      <c r="G14" s="2" t="n">
        <v>140631.66</v>
      </c>
      <c r="H14" s="2" t="n">
        <v>138015.32</v>
      </c>
      <c r="I14" s="2" t="n">
        <v>164793.41</v>
      </c>
      <c r="J14" s="2" t="n">
        <v>166587.22</v>
      </c>
      <c r="K14" s="2" t="n">
        <v>157195.08</v>
      </c>
      <c r="L14" s="2" t="n">
        <v>152706.45</v>
      </c>
      <c r="M14" s="2" t="n">
        <v>145041.95</v>
      </c>
      <c r="N14" s="2" t="n">
        <v>151751.39</v>
      </c>
      <c r="O14" s="2" t="n">
        <v>164787.54</v>
      </c>
      <c r="P14" s="2" t="n">
        <v>170613.73</v>
      </c>
      <c r="Q14" s="2" t="n">
        <v>137077.48</v>
      </c>
      <c r="R14" s="2" t="n">
        <v>144205.27</v>
      </c>
      <c r="S14" s="2" t="n">
        <v>150389.59</v>
      </c>
      <c r="T14" s="2" t="n">
        <v>142985</v>
      </c>
      <c r="U14" s="2" t="n">
        <v>145612.07</v>
      </c>
      <c r="V14" s="2" t="n">
        <v>162706.76</v>
      </c>
      <c r="W14" s="2" t="n">
        <v>171799.44</v>
      </c>
      <c r="X14" s="3" t="n">
        <f aca="false">SUM(B14:E14)</f>
        <v>514824.53</v>
      </c>
      <c r="Y14" s="3" t="n">
        <f aca="false">SUM(F14:Q14)</f>
        <v>1817079.06</v>
      </c>
      <c r="Z14" s="3" t="n">
        <f aca="false">SUM(R14:W14)</f>
        <v>917698.13</v>
      </c>
    </row>
    <row r="15" customFormat="false" ht="15" hidden="false" customHeight="false" outlineLevel="0" collapsed="false">
      <c r="A15" s="0" t="s">
        <v>35</v>
      </c>
      <c r="B15" s="2" t="n">
        <v>607001.09</v>
      </c>
      <c r="C15" s="2" t="n">
        <v>603359.08</v>
      </c>
      <c r="D15" s="2" t="n">
        <v>599738.93</v>
      </c>
      <c r="E15" s="2" t="n">
        <v>596140.5</v>
      </c>
      <c r="F15" s="2" t="n">
        <v>592563.65</v>
      </c>
      <c r="G15" s="2" t="n">
        <v>589008.27</v>
      </c>
      <c r="H15" s="2" t="n">
        <v>585474.22</v>
      </c>
      <c r="I15" s="2" t="n">
        <v>581961.38</v>
      </c>
      <c r="J15" s="2" t="n">
        <v>578469.61</v>
      </c>
      <c r="K15" s="2" t="n">
        <v>574998.79</v>
      </c>
      <c r="L15" s="2" t="n">
        <v>571548.8</v>
      </c>
      <c r="M15" s="2" t="n">
        <v>568119.51</v>
      </c>
      <c r="N15" s="2" t="n">
        <v>564710.79</v>
      </c>
      <c r="O15" s="2" t="n">
        <v>561322.52</v>
      </c>
      <c r="P15" s="2" t="n">
        <v>557954.59</v>
      </c>
      <c r="Q15" s="2" t="n">
        <v>554606.86</v>
      </c>
      <c r="R15" s="2" t="n">
        <v>551279.22</v>
      </c>
      <c r="S15" s="2" t="n">
        <v>547971.54</v>
      </c>
      <c r="T15" s="2" t="n">
        <v>544683.72</v>
      </c>
      <c r="U15" s="2" t="n">
        <v>541415.61</v>
      </c>
      <c r="V15" s="2" t="n">
        <v>538167.12</v>
      </c>
      <c r="W15" s="2" t="n">
        <v>534938.12</v>
      </c>
      <c r="X15" s="3" t="n">
        <f aca="false">SUM(B15:E15)</f>
        <v>2406239.6</v>
      </c>
      <c r="Y15" s="3" t="n">
        <f aca="false">SUM(F15:Q15)</f>
        <v>6880738.99</v>
      </c>
      <c r="Z15" s="3" t="n">
        <f aca="false">SUM(R15:W15)</f>
        <v>3258455.33</v>
      </c>
    </row>
    <row r="17" customFormat="false" ht="15" hidden="false" customHeight="false" outlineLevel="0" collapsed="false">
      <c r="A17" s="0" t="s">
        <v>83</v>
      </c>
      <c r="B17" s="2" t="n">
        <v>-192781.02</v>
      </c>
      <c r="C17" s="2" t="n">
        <v>-200049.73</v>
      </c>
      <c r="D17" s="2" t="n">
        <v>-210631.85</v>
      </c>
      <c r="E17" s="2" t="n">
        <v>-181029.94</v>
      </c>
      <c r="F17" s="2" t="n">
        <v>-192435.41</v>
      </c>
      <c r="G17" s="2" t="n">
        <v>-201695.42</v>
      </c>
      <c r="H17" s="2" t="n">
        <v>-206321.14</v>
      </c>
      <c r="I17" s="2" t="n">
        <v>-215251.36</v>
      </c>
      <c r="J17" s="2" t="n">
        <v>-221085.75</v>
      </c>
      <c r="K17" s="2" t="n">
        <v>-223180.11</v>
      </c>
      <c r="L17" s="2" t="n">
        <v>-221872.48</v>
      </c>
      <c r="M17" s="2" t="n">
        <v>-207228.2</v>
      </c>
      <c r="N17" s="2" t="n">
        <v>-218365.83</v>
      </c>
      <c r="O17" s="2" t="n">
        <v>-227534.9</v>
      </c>
      <c r="P17" s="2" t="n">
        <v>-232300.74</v>
      </c>
      <c r="Q17" s="2" t="n">
        <v>-197829.79</v>
      </c>
      <c r="R17" s="2" t="n">
        <v>-205577.76</v>
      </c>
      <c r="S17" s="2" t="n">
        <v>-212653.11</v>
      </c>
      <c r="T17" s="2" t="n">
        <v>-217124.54</v>
      </c>
      <c r="U17" s="2" t="n">
        <v>-219147.09</v>
      </c>
      <c r="V17" s="2" t="n">
        <v>-223252.79</v>
      </c>
      <c r="W17" s="2" t="n">
        <v>-236911.21</v>
      </c>
      <c r="X17" s="3" t="n">
        <f aca="false">SUM(B17:E17)</f>
        <v>-784492.54</v>
      </c>
      <c r="Y17" s="3" t="n">
        <f aca="false">SUM(F17:Q17)</f>
        <v>-2565101.13</v>
      </c>
      <c r="Z17" s="3" t="n">
        <f aca="false">SUM(R17:W17)</f>
        <v>-1314666.5</v>
      </c>
    </row>
    <row r="18" customFormat="false" ht="15" hidden="false" customHeight="false" outlineLevel="0" collapsed="false">
      <c r="A18" s="0" t="s">
        <v>84</v>
      </c>
      <c r="B18" s="3" t="n">
        <f aca="false">B17</f>
        <v>-192781.02</v>
      </c>
      <c r="C18" s="3" t="n">
        <f aca="false">C17</f>
        <v>-200049.73</v>
      </c>
      <c r="D18" s="3" t="n">
        <f aca="false">D17</f>
        <v>-210631.85</v>
      </c>
      <c r="E18" s="3" t="n">
        <f aca="false">E17</f>
        <v>-181029.94</v>
      </c>
      <c r="F18" s="3" t="n">
        <f aca="false">F17</f>
        <v>-192435.41</v>
      </c>
      <c r="G18" s="3" t="n">
        <f aca="false">G17</f>
        <v>-201695.42</v>
      </c>
      <c r="H18" s="3" t="n">
        <f aca="false">H17</f>
        <v>-206321.14</v>
      </c>
      <c r="I18" s="3" t="n">
        <f aca="false">I17</f>
        <v>-215251.36</v>
      </c>
      <c r="J18" s="3" t="n">
        <f aca="false">J17</f>
        <v>-221085.75</v>
      </c>
      <c r="K18" s="3" t="n">
        <f aca="false">K17</f>
        <v>-223180.11</v>
      </c>
      <c r="L18" s="3" t="n">
        <f aca="false">L17</f>
        <v>-221872.48</v>
      </c>
      <c r="M18" s="3" t="n">
        <f aca="false">M17</f>
        <v>-207228.2</v>
      </c>
      <c r="N18" s="3" t="n">
        <f aca="false">N17</f>
        <v>-218365.83</v>
      </c>
      <c r="O18" s="3" t="n">
        <f aca="false">O17</f>
        <v>-227534.9</v>
      </c>
      <c r="P18" s="3" t="n">
        <f aca="false">P17</f>
        <v>-232300.74</v>
      </c>
      <c r="Q18" s="3" t="n">
        <f aca="false">Q17</f>
        <v>-197829.79</v>
      </c>
      <c r="R18" s="3" t="n">
        <f aca="false">R17</f>
        <v>-205577.76</v>
      </c>
      <c r="S18" s="3" t="n">
        <f aca="false">S17</f>
        <v>-212653.11</v>
      </c>
      <c r="T18" s="3" t="n">
        <f aca="false">T17</f>
        <v>-217124.54</v>
      </c>
      <c r="U18" s="3" t="n">
        <f aca="false">U17</f>
        <v>-219147.09</v>
      </c>
      <c r="V18" s="3" t="n">
        <f aca="false">V17</f>
        <v>-223252.79</v>
      </c>
      <c r="W18" s="3" t="n">
        <f aca="false">W17</f>
        <v>-236911.21</v>
      </c>
      <c r="X18" s="3" t="n">
        <f aca="false">SUM(B18:E18)</f>
        <v>-784492.54</v>
      </c>
      <c r="Y18" s="3" t="n">
        <f aca="false">SUM(F18:Q18)</f>
        <v>-2565101.13</v>
      </c>
      <c r="Z18" s="3" t="n">
        <f aca="false">SUM(R18:W18)</f>
        <v>-1314666.5</v>
      </c>
    </row>
    <row r="20" customFormat="false" ht="15" hidden="false" customHeight="false" outlineLevel="0" collapsed="false">
      <c r="A20" s="0" t="s">
        <v>85</v>
      </c>
      <c r="B20" s="2" t="n">
        <v>-401719.18</v>
      </c>
      <c r="C20" s="2" t="n">
        <v>-399308.86</v>
      </c>
      <c r="D20" s="2" t="n">
        <v>-396913.01</v>
      </c>
      <c r="E20" s="2" t="n">
        <v>-394531.53</v>
      </c>
      <c r="F20" s="2" t="n">
        <v>8607835.66</v>
      </c>
      <c r="G20" s="2" t="n">
        <v>-389811.35</v>
      </c>
      <c r="H20" s="2" t="n">
        <v>-387472.49</v>
      </c>
      <c r="I20" s="2" t="n">
        <v>-385147.65</v>
      </c>
      <c r="J20" s="2" t="n">
        <v>-382836.77</v>
      </c>
      <c r="K20" s="2" t="n">
        <v>-380539.74</v>
      </c>
      <c r="L20" s="2" t="n">
        <v>-378256.51</v>
      </c>
      <c r="M20" s="2" t="n">
        <v>-375986.97</v>
      </c>
      <c r="N20" s="2" t="n">
        <v>-373731.05</v>
      </c>
      <c r="O20" s="2" t="n">
        <v>-371488.66</v>
      </c>
      <c r="P20" s="2" t="n">
        <v>-369259.73</v>
      </c>
      <c r="Q20" s="2" t="n">
        <v>-367044.17</v>
      </c>
      <c r="R20" s="2" t="n">
        <v>-364841.9</v>
      </c>
      <c r="S20" s="2" t="n">
        <v>-362652.85</v>
      </c>
      <c r="T20" s="2" t="n">
        <v>-360476.94</v>
      </c>
      <c r="U20" s="2" t="n">
        <v>-358314.07</v>
      </c>
      <c r="V20" s="2" t="n">
        <v>-356164.19</v>
      </c>
      <c r="W20" s="2" t="n">
        <v>-354027.2</v>
      </c>
      <c r="X20" s="3" t="n">
        <f aca="false">SUM(B20:E20)</f>
        <v>-1592472.58</v>
      </c>
      <c r="Y20" s="3" t="n">
        <f aca="false">SUM(F20:Q20)</f>
        <v>4446260.57</v>
      </c>
      <c r="Z20" s="3" t="n">
        <f aca="false">SUM(R20:W20)</f>
        <v>-2156477.15</v>
      </c>
    </row>
    <row r="22" customFormat="false" ht="15" hidden="false" customHeight="false" outlineLevel="0" collapsed="false">
      <c r="A22" s="0" t="s">
        <v>86</v>
      </c>
      <c r="B22" s="3" t="n">
        <f aca="false">'Balance Sheet'!B7</f>
        <v>16887933.11</v>
      </c>
      <c r="C22" s="3" t="n">
        <f aca="false">'Balance Sheet'!C7</f>
        <v>16819879.83</v>
      </c>
      <c r="D22" s="3" t="n">
        <f aca="false">'Balance Sheet'!D7</f>
        <v>16613479.95</v>
      </c>
      <c r="E22" s="3" t="n">
        <f aca="false">'Balance Sheet'!E7</f>
        <v>19110968.37</v>
      </c>
      <c r="F22" s="3" t="n">
        <f aca="false">'Balance Sheet'!F7</f>
        <v>27429982.18</v>
      </c>
      <c r="G22" s="3" t="n">
        <f aca="false">'Balance Sheet'!G7</f>
        <v>27086752.26</v>
      </c>
      <c r="H22" s="3" t="n">
        <f aca="false">'Balance Sheet'!H7</f>
        <v>27330131.68</v>
      </c>
      <c r="I22" s="3" t="n">
        <f aca="false">'Balance Sheet'!I7</f>
        <v>27338254.88</v>
      </c>
      <c r="J22" s="3" t="n">
        <f aca="false">'Balance Sheet'!J7</f>
        <v>27716473.45</v>
      </c>
      <c r="K22" s="3" t="n">
        <f aca="false">'Balance Sheet'!K7</f>
        <v>28420879.07</v>
      </c>
      <c r="L22" s="3" t="n">
        <f aca="false">'Balance Sheet'!L7</f>
        <v>29076744.33</v>
      </c>
      <c r="M22" s="3" t="n">
        <f aca="false">'Balance Sheet'!M7</f>
        <v>31213672.91</v>
      </c>
      <c r="N22" s="3" t="n">
        <f aca="false">'Balance Sheet'!N7</f>
        <v>30803186.31</v>
      </c>
      <c r="O22" s="3" t="n">
        <f aca="false">'Balance Sheet'!O7</f>
        <v>30952076.81</v>
      </c>
      <c r="P22" s="3" t="n">
        <f aca="false">'Balance Sheet'!P7</f>
        <v>31633296.48</v>
      </c>
      <c r="Q22" s="3" t="n">
        <f aca="false">'Balance Sheet'!Q7</f>
        <v>35061624.57</v>
      </c>
      <c r="R22" s="3" t="n">
        <f aca="false">'Balance Sheet'!R7</f>
        <v>35074536.02</v>
      </c>
      <c r="S22" s="3" t="n">
        <f aca="false">'Balance Sheet'!S7</f>
        <v>35178946.86</v>
      </c>
      <c r="T22" s="3" t="n">
        <f aca="false">'Balance Sheet'!T7</f>
        <v>35565939.38</v>
      </c>
      <c r="U22" s="3" t="n">
        <f aca="false">'Balance Sheet'!U7</f>
        <v>36203497.07</v>
      </c>
      <c r="V22" s="3" t="n">
        <f aca="false">'Balance Sheet'!V7</f>
        <v>36850610.79</v>
      </c>
      <c r="W22" s="3" t="n">
        <f aca="false">'Balance Sheet'!W7</f>
        <v>36445185.51</v>
      </c>
      <c r="X22" s="3" t="n">
        <f aca="false">E22</f>
        <v>19110968.37</v>
      </c>
      <c r="Y22" s="3" t="n">
        <f aca="false">Q22</f>
        <v>35061624.57</v>
      </c>
      <c r="Z22" s="3" t="n">
        <f aca="false">W22</f>
        <v>36445185.51</v>
      </c>
    </row>
    <row r="23" customFormat="false" ht="15" hidden="false" customHeight="false" outlineLevel="0" collapsed="false">
      <c r="A23" s="0" t="s">
        <v>87</v>
      </c>
      <c r="B23" s="3" t="n">
        <f aca="false">B9-B22</f>
        <v>0</v>
      </c>
      <c r="C23" s="3" t="n">
        <f aca="false">C9-C22</f>
        <v>0</v>
      </c>
      <c r="D23" s="3" t="n">
        <f aca="false">D9-D22</f>
        <v>0</v>
      </c>
      <c r="E23" s="3" t="n">
        <f aca="false">E9-E22</f>
        <v>0</v>
      </c>
      <c r="F23" s="3" t="n">
        <f aca="false">F9-F22</f>
        <v>0</v>
      </c>
      <c r="G23" s="3" t="n">
        <f aca="false">G9-G22</f>
        <v>0</v>
      </c>
      <c r="H23" s="3" t="n">
        <f aca="false">H9-H22</f>
        <v>0</v>
      </c>
      <c r="I23" s="3" t="n">
        <f aca="false">I9-I22</f>
        <v>0</v>
      </c>
      <c r="J23" s="3" t="n">
        <f aca="false">J9-J22</f>
        <v>0</v>
      </c>
      <c r="K23" s="3" t="n">
        <f aca="false">K9-K22</f>
        <v>0</v>
      </c>
      <c r="L23" s="3" t="n">
        <f aca="false">L9-L22</f>
        <v>0</v>
      </c>
      <c r="M23" s="3" t="n">
        <f aca="false">M9-M22</f>
        <v>0</v>
      </c>
      <c r="N23" s="3" t="n">
        <f aca="false">N9-N22</f>
        <v>0</v>
      </c>
      <c r="O23" s="3" t="n">
        <f aca="false">O9-O22</f>
        <v>0</v>
      </c>
      <c r="P23" s="3" t="n">
        <f aca="false">P9-P22</f>
        <v>0</v>
      </c>
      <c r="Q23" s="3" t="n">
        <f aca="false">Q9-Q22</f>
        <v>0</v>
      </c>
      <c r="R23" s="3" t="n">
        <f aca="false">R9-R22</f>
        <v>0</v>
      </c>
      <c r="S23" s="3" t="n">
        <f aca="false">S9-S22</f>
        <v>0</v>
      </c>
      <c r="T23" s="3" t="n">
        <f aca="false">T9-T22</f>
        <v>0</v>
      </c>
      <c r="U23" s="3" t="n">
        <f aca="false">U9-U22</f>
        <v>0</v>
      </c>
      <c r="V23" s="3" t="n">
        <f aca="false">V9-V22</f>
        <v>0</v>
      </c>
      <c r="W23" s="3" t="n">
        <f aca="false">W9-W22</f>
        <v>0</v>
      </c>
      <c r="X23" s="3" t="n">
        <f aca="false">E23</f>
        <v>0</v>
      </c>
      <c r="Y23" s="3" t="n">
        <f aca="false">Q23</f>
        <v>0</v>
      </c>
      <c r="Z23" s="3" t="n">
        <f aca="false">W23</f>
        <v>0</v>
      </c>
    </row>
    <row r="24" customFormat="false" ht="15" hidden="false" customHeight="false" outlineLevel="0" collapsed="false">
      <c r="A24" s="0" t="s">
        <v>88</v>
      </c>
      <c r="B24" s="3" t="n">
        <f aca="false">B11-'Income Statement'!B10</f>
        <v>0</v>
      </c>
      <c r="C24" s="3" t="n">
        <f aca="false">C11-'Income Statement'!C10</f>
        <v>0</v>
      </c>
      <c r="D24" s="3" t="n">
        <f aca="false">D11-'Income Statement'!D10</f>
        <v>0</v>
      </c>
      <c r="E24" s="3" t="n">
        <f aca="false">E11-'Income Statement'!E10</f>
        <v>0</v>
      </c>
      <c r="F24" s="3" t="n">
        <f aca="false">F11-'Income Statement'!F10</f>
        <v>0</v>
      </c>
      <c r="G24" s="3" t="n">
        <f aca="false">G11-'Income Statement'!G10</f>
        <v>0</v>
      </c>
      <c r="H24" s="3" t="n">
        <f aca="false">H11-'Income Statement'!H10</f>
        <v>0</v>
      </c>
      <c r="I24" s="3" t="n">
        <f aca="false">I11-'Income Statement'!I10</f>
        <v>0</v>
      </c>
      <c r="J24" s="3" t="n">
        <f aca="false">J11-'Income Statement'!J10</f>
        <v>0</v>
      </c>
      <c r="K24" s="3" t="n">
        <f aca="false">K11-'Income Statement'!K10</f>
        <v>0</v>
      </c>
      <c r="L24" s="3" t="n">
        <f aca="false">L11-'Income Statement'!L10</f>
        <v>0</v>
      </c>
      <c r="M24" s="3" t="n">
        <f aca="false">M11-'Income Statement'!M10</f>
        <v>0</v>
      </c>
      <c r="N24" s="3" t="n">
        <f aca="false">N11-'Income Statement'!N10</f>
        <v>0</v>
      </c>
      <c r="O24" s="3" t="n">
        <f aca="false">O11-'Income Statement'!O10</f>
        <v>0</v>
      </c>
      <c r="P24" s="3" t="n">
        <f aca="false">P11-'Income Statement'!P10</f>
        <v>0</v>
      </c>
      <c r="Q24" s="3" t="n">
        <f aca="false">Q11-'Income Statement'!Q10</f>
        <v>0</v>
      </c>
      <c r="R24" s="3" t="n">
        <f aca="false">R11-'Income Statement'!R10</f>
        <v>0</v>
      </c>
      <c r="S24" s="3" t="n">
        <f aca="false">S11-'Income Statement'!S10</f>
        <v>0</v>
      </c>
      <c r="T24" s="3" t="n">
        <f aca="false">T11-'Income Statement'!T10</f>
        <v>0</v>
      </c>
      <c r="U24" s="3" t="n">
        <f aca="false">U11-'Income Statement'!U10</f>
        <v>0</v>
      </c>
      <c r="V24" s="3" t="n">
        <f aca="false">V11-'Income Statement'!V10</f>
        <v>0</v>
      </c>
      <c r="W24" s="3" t="n">
        <f aca="false">W11-'Income Statement'!W10</f>
        <v>0</v>
      </c>
      <c r="X24" s="3" t="n">
        <f aca="false">SUM(B24:E24)</f>
        <v>0</v>
      </c>
      <c r="Y24" s="3" t="n">
        <f aca="false">SUM(F24:Q24)</f>
        <v>0</v>
      </c>
      <c r="Z24" s="3" t="n">
        <f aca="false">SUM(R24:W24)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89</v>
      </c>
      <c r="B1" s="0" t="s">
        <v>90</v>
      </c>
    </row>
    <row r="2" customFormat="false" ht="15" hidden="false" customHeight="false" outlineLevel="0" collapsed="false">
      <c r="A2" s="1" t="s">
        <v>91</v>
      </c>
      <c r="B2" s="0" t="s">
        <v>92</v>
      </c>
    </row>
    <row r="3" customFormat="false" ht="15" hidden="false" customHeight="false" outlineLevel="0" collapsed="false">
      <c r="A3" s="1" t="s">
        <v>93</v>
      </c>
      <c r="B3" s="0" t="s">
        <v>94</v>
      </c>
    </row>
    <row r="4" customFormat="false" ht="15" hidden="false" customHeight="false" outlineLevel="0" collapsed="false">
      <c r="A4" s="1" t="s">
        <v>95</v>
      </c>
      <c r="B4" s="0" t="s">
        <v>96</v>
      </c>
    </row>
    <row r="5" customFormat="false" ht="15" hidden="false" customHeight="false" outlineLevel="0" collapsed="false">
      <c r="A5" s="1" t="s">
        <v>97</v>
      </c>
      <c r="B5" s="0" t="s">
        <v>98</v>
      </c>
    </row>
    <row r="6" customFormat="false" ht="15" hidden="false" customHeight="false" outlineLevel="0" collapsed="false">
      <c r="A6" s="1" t="s">
        <v>99</v>
      </c>
      <c r="B6" s="0" t="s">
        <v>100</v>
      </c>
    </row>
    <row r="7" customFormat="false" ht="15" hidden="false" customHeight="false" outlineLevel="0" collapsed="false">
      <c r="A7" s="1" t="s">
        <v>101</v>
      </c>
      <c r="B7" s="0" t="s">
        <v>102</v>
      </c>
    </row>
    <row r="8" customFormat="false" ht="15" hidden="false" customHeight="false" outlineLevel="0" collapsed="false">
      <c r="A8" s="1" t="s">
        <v>103</v>
      </c>
      <c r="B8" s="0" t="s">
        <v>104</v>
      </c>
    </row>
    <row r="9" customFormat="false" ht="15" hidden="false" customHeight="false" outlineLevel="0" collapsed="false">
      <c r="A9" s="1" t="s">
        <v>105</v>
      </c>
      <c r="B9" s="0" t="s">
        <v>106</v>
      </c>
    </row>
    <row r="10" customFormat="false" ht="15" hidden="false" customHeight="false" outlineLevel="0" collapsed="false">
      <c r="A10" s="1" t="s">
        <v>107</v>
      </c>
      <c r="B10" s="0" t="s">
        <v>108</v>
      </c>
    </row>
    <row r="11" customFormat="false" ht="15" hidden="false" customHeight="false" outlineLevel="0" collapsed="false">
      <c r="A11" s="1" t="s">
        <v>109</v>
      </c>
      <c r="B11" s="0" t="s">
        <v>110</v>
      </c>
    </row>
    <row r="12" customFormat="false" ht="15" hidden="false" customHeight="false" outlineLevel="0" collapsed="false">
      <c r="A12" s="1" t="s">
        <v>111</v>
      </c>
      <c r="B12" s="0" t="s">
        <v>112</v>
      </c>
    </row>
    <row r="13" customFormat="false" ht="15" hidden="false" customHeight="false" outlineLevel="0" collapsed="false">
      <c r="A13" s="1" t="s">
        <v>113</v>
      </c>
      <c r="B13" s="0" t="s">
        <v>114</v>
      </c>
    </row>
    <row r="14" customFormat="false" ht="15" hidden="false" customHeight="false" outlineLevel="0" collapsed="false">
      <c r="A14" s="1" t="s">
        <v>115</v>
      </c>
      <c r="B14" s="0" t="s">
        <v>116</v>
      </c>
    </row>
    <row r="15" customFormat="false" ht="15" hidden="false" customHeight="false" outlineLevel="0" collapsed="false">
      <c r="A15" s="1" t="s">
        <v>117</v>
      </c>
      <c r="B15" s="0" t="s">
        <v>118</v>
      </c>
    </row>
    <row r="16" customFormat="false" ht="15" hidden="false" customHeight="false" outlineLevel="0" collapsed="false">
      <c r="A16" s="1" t="s">
        <v>119</v>
      </c>
      <c r="B16" s="0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2026-09-15T09:42:16Z</dcterms:created>
  <dc:creator>openpyxl</dc:creator>
  <dc:description/>
  <dc:language>en-US</dc:language>
  <cp:lastModifiedBy/>
  <dcterms:modified xsi:type="dcterms:W3CDTF">2026-09-15T09:42:16Z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
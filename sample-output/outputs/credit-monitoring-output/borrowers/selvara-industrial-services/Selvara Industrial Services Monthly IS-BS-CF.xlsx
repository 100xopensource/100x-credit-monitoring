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Sources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<sst xmlns="http://schemas.openxmlformats.org/spreadsheetml/2006/main" count="157" uniqueCount="106">
  <si>
    <t xml:space="preserve">Selvara Industrial Services, LLC | Detailed Income Statement</t>
  </si>
  <si>
    <t xml:space="preserve">Company-prepared monthly reporting package | USD, whole dollars (scale=1) | Unaudited | Source: Archive/&lt;YYYY-MM&gt;/monthly.xlsx 'Income Statement' tab (Jun 2026: June_2026_Monthly_Package.xlsx). Mar 2026 Revenue is RESTATED (sourced from consolidated-revised.xlsx) -- see Sources &amp; Notes.</t>
  </si>
  <si>
    <t xml:space="preserve">Account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</si>
  <si>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</si>
  <si>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</si>
  <si>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</si>
  <si>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</si>
  <si>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</si>
  <si>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</si>
  <si>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</si>
  <si>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</si>
  <si>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</si>
  <si>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</si>
  <si>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</si>
  <si>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</si>
  <si>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</si>
  <si>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</si>
  <si>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</si>
  <si>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</si>
  <si>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</si>
  <si>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</si>
  <si>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</si>
  <si>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</si>
  <si>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</si>
  <si>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</si>
  <si>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FY2024 (Sep-Dec, partial)</t>
  </si>
  <si>
    <t xml:space="preserve">FY2025</t>
  </si>
  <si>
    <t xml:space="preserve">2026 YTD (Jan-Jun)</t>
  </si>
  <si>
    <t xml:space="preserve">Revenue</t>
  </si>
  <si>
    <t xml:space="preserve">Reported EBITDA</t>
  </si>
  <si>
    <t xml:space="preserve">EBITDA margin</t>
  </si>
  <si>
    <t xml:space="preserve">Selvara Industrial Services, LLC | Balance Sheet (Working Capital detail -- no full Balance Sheet in borrower's monthly reporting; see Sources &amp; Notes)</t>
  </si>
  <si>
    <t xml:space="preserve">Company-prepared monthly reporting package | USD, whole dollars (scale=1) | Unaudited | Source: Archive/&lt;YYYY-MM&gt;/monthly.xlsx 'Working Capital' and 'Debt Roll-Forward' tabs (Jun 2026: June_2026_Monthly_Package.xlsx). No Total Assets/Liabilities/Equity or Balance-Check row: this borrower's monthly package carries no full Balance Sheet -- see Sources &amp; Notes.</t>
  </si>
  <si>
    <t xml:space="preserve">FY2024 (Sep-Dec, spot)</t>
  </si>
  <si>
    <t xml:space="preserve">FY2025 (spot)</t>
  </si>
  <si>
    <t xml:space="preserve">2026 YTD (Jun, spot)</t>
  </si>
  <si>
    <t xml:space="preserve">Accounts receivable</t>
  </si>
  <si>
    <t xml:space="preserve">Accounts payable</t>
  </si>
  <si>
    <t xml:space="preserve">Net working capital</t>
  </si>
  <si>
    <t xml:space="preserve">DEBT ROLL-FORWARD (borrower-certified; source: monthly.xlsx / June_2026_Monthly_Package.xlsx 'Debt Roll-Forward' tab)</t>
  </si>
  <si>
    <t xml:space="preserve">Beginning debt</t>
  </si>
  <si>
    <t xml:space="preserve">Required principal</t>
  </si>
  <si>
    <t xml:space="preserve">Draws</t>
  </si>
  <si>
    <t xml:space="preserve">PIK</t>
  </si>
  <si>
    <t xml:space="preserve">Ending debt</t>
  </si>
  <si>
    <t xml:space="preserve">COVENANT-SUPPORT ROWS (Fixed_Charges inputs; DEVIATION -- sourced from this borrower's native Cash-Flow-tab ledger lines, NOT debt-service-schedule.json, per covenant-spec.json step7_signoff 'fixed_charges_component_source' -- see Sources &amp; Notes)</t>
  </si>
  <si>
    <t xml:space="preserve">Cash Interest Expense</t>
  </si>
  <si>
    <t xml:space="preserve">Scheduled Debt Principal Payments</t>
  </si>
  <si>
    <t xml:space="preserve">Selvara Industrial Services, LLC | Detailed Cash Flow Statement (as reported, single blended waterfall; two DERIVED Operating/Financing subtotal rows added below -- see Sources &amp; Notes)</t>
  </si>
  <si>
    <t xml:space="preserve">Company-prepared monthly reporting package | USD, whole dollars (scale=1) | Unaudited | Source: Archive/&lt;YYYY-MM&gt;/monthly.xlsx 'Cash Flow' tab (Jun 2026: June_2026_Monthly_Package.xlsx). No native Operating/Investing/Financing split -- see derived rows and Sources &amp; Notes.</t>
  </si>
  <si>
    <t xml:space="preserve">Beginning cash</t>
  </si>
  <si>
    <t xml:space="preserve">Cash taxes</t>
  </si>
  <si>
    <t xml:space="preserve">Capital expenditures</t>
  </si>
  <si>
    <t xml:space="preserve">Working-capital increase</t>
  </si>
  <si>
    <t xml:space="preserve">Cash interest</t>
  </si>
  <si>
    <t xml:space="preserve">Lease payments</t>
  </si>
  <si>
    <t xml:space="preserve">Legacy debt payoff</t>
  </si>
  <si>
    <t xml:space="preserve">New facility funding</t>
  </si>
  <si>
    <t xml:space="preserve">Sponsor equity</t>
  </si>
  <si>
    <t xml:space="preserve">Closing fees</t>
  </si>
  <si>
    <t xml:space="preserve">Ending cash</t>
  </si>
  <si>
    <t xml:space="preserve">Operating Cash Flow (derived)</t>
  </si>
  <si>
    <t xml:space="preserve">Financing Cash Flow (derived)</t>
  </si>
  <si>
    <t xml:space="preserve">Memo: Net change in cash (derived: Operating + Investing[Capex] + Financing)</t>
  </si>
  <si>
    <t xml:space="preserve">Memo: Net change in cash (native: Ending cash - Beginning cash)</t>
  </si>
  <si>
    <t xml:space="preserve">Memo: CF derivation tie (diff, should be 0)</t>
  </si>
  <si>
    <t xml:space="preserve">Memo: Reported EBITDA per Income Statement</t>
  </si>
  <si>
    <t xml:space="preserve">Memo: CF-vs-IS EBITDA tie (diff, should be 0)</t>
  </si>
  <si>
    <t xml:space="preserve">Entity</t>
  </si>
  <si>
    <t xml:space="preserve">Selvara Industrial Services, LLC (consolidated) -- per borrower-config model.entity='consolidated'. No separate divisional/standalone consolidation level is offered in the reporting package.</t>
  </si>
  <si>
    <t xml:space="preserve">Units</t>
  </si>
  <si>
    <t xml:space="preserve">USD, whole dollars (model.scale = 1). Verified against June 2026 revenue ($14,657,474.87), consistent with FY2024 annual revenue ($145,482,023.89, ~$12.1M/month average) and the H1 2026 Approved Budget's own June figure ($15,170,486.49), same unit. No '$ in thousands' caption anywhere.</t>
  </si>
  <si>
    <t xml:space="preserve">Basis</t>
  </si>
  <si>
    <t xml:space="preserve">Actuals only -- company-prepared monthly reporting packages, unaudited. No proforma/budget/forecast columns included.</t>
  </si>
  <si>
    <t xml:space="preserve">Coverage</t>
  </si>
  <si>
    <t xml:space="preserve">Sep 2024 through Jun 2026 (22 months), continuous, no gaps. Sep 2024-May 2026 from Monthly/Archive/&lt;YYYY-MM&gt;/monthly.xlsx (21 months); Jun 2026 from Monthly/Current/2026-06/June_2026_Monthly_Package.xlsx.</t>
  </si>
  <si>
    <t xml:space="preserve">Primary source files</t>
  </si>
  <si>
    <t xml:space="preserve">One monthly.xlsx package per Archive period (single-period snapshot, no hidden multi-month columns -- verified identical tab/row shape across 2024-09, 2025-05, 2026-03 and 2026-05). Jun 2026 uses June_2026_Monthly_Package.xlsx, the current-month analog of the same 3-file pattern (verified same tab shape as Archive; its own Revenue 14,657,474.87 and Reported EBITDA 2,696,995.08 tie exactly to consolidated-revised.xlsx's June row -- June's own package was never restated). See source-map.json for the exact file per statement per month.</t>
  </si>
  <si>
    <t xml:space="preserve">June 2026 package scope</t>
  </si>
  <si>
    <t xml:space="preserve">THE June 2026 monthly package is exactly: June_2026_Monthly_Package.xlsx (used here), June_2026_AR-AP_Detail.xlsx (ap-ar-aging module input, not a statement source), June_2026_Project_Service-Line_Detail.xlsx (sales-by-channel detail, not a statement source). Excluded as monthly-package inputs (restatement/compliance ephemera, read only for the restatement scan below): certificate.xlsx, PM_Update_2026-Q2.pdf, monthly-original.xlsx, consolidated-revised.xlsx (used ONLY for the March 2026 Revenue override below), March_Reporting_Correction_Notice_2026-07-23.pdf, and the Compliance/ subfolder.</t>
  </si>
  <si>
    <t xml:space="preserve">RESTATEMENT -- March 2026 Revenue (EPISODE B, financial reporting error)</t>
  </si>
  <si>
    <t xml:space="preserve">Monthly/Archive/2026-03/monthly.xlsx was NEVER updated after a 2026-07-22 correction and still shows STALE, UNDERSTATED March 2026 Revenue: $13,111,960.23. The AUTHORITATIVE March 2026 Revenue is $13,729,801.29, taken from consolidated-revised.xlsx ('Revised Authoritative March-June Package', tab 'Income Statement', March row) -- confirmed by direct read on this build date. This model's March 2026 Revenue cell is sourced from consolidated-revised.xlsx, NOT Archive/2026-03/monthly.xlsx. Reported EBITDA for March 2026 is UNCHANGED at $2,618,535.91 in both the stale Archive file and consolidated-revised.xlsx -- the restatement was a pure Revenue/Cost gross-up ($617,841.06 on each side), EBITDA-neutral (independently verified: Revenue - Costs - OpEx ties to 2,618,535.91 under both the original and corrected figures per consolidated-revised.xlsx's own Costs/Operating Expenses columns, which do not exist in the standard monthly Archive schema). April, May and June 2026 are NOT restated -- verified identical between consolidated-revised.xlsx and their respective Archive/June-package files (Revenue and Reported EBITDA match to the penny for all three months). Old-&gt;new logged in restatements.json: Mar 2026 Revenue $13,111,960.23 -&gt; $13,729,801.29 (material: diff $617,841.06, 4.71% of the old value, well above the $25k/1% threshold).</t>
  </si>
  <si>
    <t xml:space="preserve">Restatement scan -- scope</t>
  </si>
  <si>
    <t xml:space="preserve">Full scan performed across all 22 months: each Archive month's own package compared against consolidated-revised.xlsx (the only file whose range overlaps any Archive month, covering Mar-Jun 2026) and against June_2026_Monthly_Package.xlsx for June. Result: only March 2026 Revenue differs (see above); April/May/June match exactly; no other month has a second source to compare against (each Archive month is a single-period snapshot with no other overlapping file). No prior canonical model existed for this borrower (first build) so no prior-snapshot diff applies.</t>
  </si>
  <si>
    <t xml:space="preserve">Income Statement -- thin monthly cadence (JUDGMENT CALL, per borrower-config.json model_lines._gap_note)</t>
  </si>
  <si>
    <t xml:space="preserve">The borrower's monthly Income Statement has ONLY three rows -- Revenue, Reported EBITDA, EBITDA margin -- with NO Gross Profit, COGS, Net Income, or D&amp;A anywhere in the monthly cadence (not on the IS, not on the Cash Flow tab). model_lines.gross_profit / operating_cogs / net_income / depreciation_amortization are left BLANK/unmapped rather than derived or guessed -- three-statement-analysis will report them in lines_not_found with dependent ratios suppressed. opex_groups is intentionally EMPTY (no opex line at all exists). Both 'Revenue' and 'Reported EBITDA' are entered as hardcoded (blue) source lines -- there is no intermediate detail within this sheet to build EBITDA up from, so Reported EBITDA is NOT a computed subtotal here (unlike Asteron/Nemeris, where component cost lines exist).</t>
  </si>
  <si>
    <t xml:space="preserve">EBITDA bridge</t>
  </si>
  <si>
    <t xml:space="preserve">Per covenant-spec.json#/definitions/EBITDA, compute.ebitda_bridge = 'Reported EBITDA' -- the model's own single pinned EBITDA row, bound directly with NO addback. Verified at three independent points that 'Reported EBITDA' ties EXACTLY to the certified 'Covenant EBITDA': Mar 2026 both 2,618,535.91; Jun 2026 both 2,696,995.08; May 2026 both 2,588,973.90. This EBITDA bridge is NOT provisional -- it is the covenant-spec-directed definition, with a covenant-spec.json present.</t>
  </si>
  <si>
    <t xml:space="preserve">Interest / taxes -- cash basis only</t>
  </si>
  <si>
    <t xml:space="preserve">model_lines.interest_expense maps to the Cash Flow tab's 'Cash interest' line; model_lines.taxes maps to 'Cash taxes' -- both cash-basis, not accrual IS rows (there is no accrual IS interest/tax line at all in this borrower's monthly cadence).</t>
  </si>
  <si>
    <t xml:space="preserve">Balance Sheet -- NO native Balance Sheet exists (JUDGMENT CALL, per borrower-config.json analysis_lines._omitted_note)</t>
  </si>
  <si>
    <t xml:space="preserve">This borrower's monthly package carries NO Balance Sheet tab at all -- only a 'Working Capital' tab (Accounts receivable, Accounts payable, Net working capital) and a 'Cash Flow' tab. The 'Balance Sheet' sheet in this model therefore carries Working Capital detail ONLY (rows 7-9): there is no Total Assets/Total Liabilities/Total Equity, and consequently NO Balance-Check row -- inventing one from non-existent data would misstate the model. This is a disclosed, borrower-config-documented gap, not an omission. Supplementary detail below the Working Capital rows (rows 11-20) reproduces the borrower's own Debt Roll-Forward tab and the covenant-support rows -- see below. 'cash' (analysis_lines.cash) maps instead to the Cash Flow Statement sheet's 'Ending cash' row, the closest thing to a period-end cash balance this borrower reports. 'inventory' is also omitted (not part of pledged collateral per collateral-map.json, and no monthly row exists to track it against, even though FY2024 annual statements show a real $8,640,818.48 inventory balance -- annual-only, not part of the monthly cadence).</t>
  </si>
  <si>
    <t xml:space="preserve">Debt Roll-Forward block</t>
  </si>
  <si>
    <t xml:space="preserve">Reproduces the borrower's own 'Debt Roll-Forward' tab (Beginning debt, Required principal, Draws, PIK, Ending debt) as supplementary detail below the Working Capital rows -- verified to chain exactly across all 22 months (each month's Ending debt = next month's Beginning debt, zero exceptions) and to reflect the First Amendment's amortization step-up exactly: Required principal 0.20%/month of beginning funded debt through Sep 2025 (e.g. Sep 2024: $247,603.47 = 0.20% x $123,801,733.88), stepping up to 2.00%/month from the Oct 2025 payment forward (e.g. Oct 2025: $2,412,424.66 = 2.00% x $120,621,233.10) -- a 10x step-up, confirmed. Draws and PIK are 0 in every month (single up-front-funded term loan, no delayed-draw capacity, consistent with covenant-spec.json's Funded_Debt note). model_lines.total_debt / analysis_lines.total_debt map to this block's 'Ending debt' row.</t>
  </si>
  <si>
    <t xml:space="preserve">COVENANT-SUPPORT ROWS -- DEVIATION FROM STANDARD METHOD (per covenant-spec.json step7_signoff decision 'fixed_charges_component_source')</t>
  </si>
  <si>
    <t xml:space="preserve">assembling-rules.md's Method step 5a normally directs populating the covenant-support rows ('Cash Interest Expense', 'Scheduled Debt Principal Payments') from debt-service-schedule.json (the generated, per-month contractual schedule). For THIS borrower specifically, per the analyst's own step-7 sign-off recorded in covenant-spec.json, these two rows are instead populated directly from the borrower's own NATIVE Cash Flow tab lines ('Cash interest' and 'Required principal', both independently verified exact to the penny every month) -- NOT from debt-service-schedule.json. Rationale: Selvara carries no debt other than this one facility (no sweep-in risk the ledger-vs-contract distinction usually guards against), while the generated schedule is a known, documented APPROXIMATION (flat-original-principal-base amortization vs. the agreement's true declining-balance reality; a day-count mismatch the engine cannot reproduce -- see debt-service-spec.json ambiguities). Using the less-precise generated source on the covenant closest to an active breach (two consecutive FCCR breaches, expired waiver, next Test Date 2026-09-30 uncovered) is not defensible when a verified, more precise native source is directly available. Mechanically: 'Cash Interest Expense' (Balance Sheet row 19) = -('Cash Flow Statement' 'Cash interest' row), and 'Scheduled Debt Principal Payments' (row 20) = -('Cash Flow Statement' 'Required principal' row) -- live cross-sheet formulas (not re-hardcoded) referencing the same native monthly figures already captured on the Cash Flow Statement sheet, sign-flipped to a positive expense/payment convention (matching the covenant-spec's Fixed_Charges formula, which sums Cash Interest Expense + Scheduled Debt Principal Payments + Lease payments). Cross-checked: 'Scheduled Debt Principal Payments' ties exactly to the Debt Roll-Forward block's own 'Required principal' line every month (e.g. Jun 2026: both $2,052,401.70). debt-service-schedule.json exists (generated 2026-09-15) but was NOT used for these rows per this deviation -- see source-map.json's _debt_service_rows block.</t>
  </si>
  <si>
    <t xml:space="preserve">Cash Flow -- as-reported, single blended waterfall (JUDGMENT CALL, per borrower-config.json analysis_lines._derived_cf_construction_note)</t>
  </si>
  <si>
    <t xml:space="preserve">The native 'Cash Flow' tab is ONE blended waterfall (Beginning cash, Reported EBITDA, Cash taxes, Capital expenditures, Working-capital increase, Cash interest, Lease payments, Legacy debt payoff, New facility funding, Sponsor equity, Closing fees, Required principal, Ending cash) with NO native Operating/Investing/Financing split -- used AS REPORTED, rows 7-18, Ending cash (row 19) = SUM of all twelve, verified to chain exactly across all 22 months (each month's Ending cash = next month's Beginning cash, zero exceptions; the one large jump, Jan 2025 Beginning $11,902,593.34 -&gt; Ending $18,843,648.31, is explained by that month's facility refinancing: Legacy debt payoff -$122,814,287.29 offset by New facility funding +$122,814,287.29, plus Sponsor equity +$12,000,000.00 and Closing fees -$4,000,000.00, consistent with the credit agreement's 2025-01-15 effective date).</t>
  </si>
  <si>
    <t xml:space="preserve">Cash Flow -- TWO DERIVED subtotal rows</t>
  </si>
  <si>
    <t xml:space="preserve">'Operating Cash Flow (derived)' (row 21) = Reported EBITDA + Cash taxes + Working-capital increase + Cash interest + Lease payments. 'Financing Cash Flow (derived)' (row 22) = Legacy debt payoff + New facility funding + Sponsor equity + Closing fees + Required principal. 'Capital expenditures' (native, row 10) is used DIRECTLY as Investing Cash Flow (analysis_lines.investing_cf = 'Capital expenditures') -- no separate derived row needed since Investing CF equals Capital expenditures exactly (no other investing line exists). VERIFIED against two independent months to the penny: May 2026 (Operating $1,303,642.75 + Investing -$282,314.79 + Financing -$2,094,287.45 = -$1,072,959.49 = Ending cash $11,304,193.71 - Beginning cash $12,377,153.20, exact) and June 2026 (Operating $734,796.12 + Investing -$293,149.50 + Financing -$2,052,401.70 = -$1,610,755.08 = Ending cash $9,693,438.63 - Beginning cash $11,304,193.71, exact) -- both reproduced live in the workbook's own memo tie-out rows 24-26 (diff = 0 every month). net_change_cash is left unmapped in analysis_lines -- fully recoverable as Operating + Investing + Financing, or equivalently Ending - Beginning cash, per the ties above.</t>
  </si>
  <si>
    <t xml:space="preserve">Materiality threshold (pinned)</t>
  </si>
  <si>
    <t xml:space="preserve">Restatement / tie-out materiality threshold: the greater of $25,000 or 1% of the line, per assembling-rules.md standard. Triggered once this build: March 2026 Revenue ($617,841.06 / 4.71%, see restatement above).</t>
  </si>
  <si>
    <t xml:space="preserve">Validation</t>
  </si>
  <si>
    <t xml:space="preserve">Income-statement, Working Capital, Debt Roll-Forward, and Cash Flow figures foot / chain exactly for all 22 months (zero exceptions) -- see notes above. No Balance-Check row exists (no full Balance Sheet in this borrower's reporting -- disclosed gap, not an omission). Cash Flow Statement memo rows 24-26 and 28-29 reproduce the CF-vs-derived-components tie and the CF-vs-Income-Statement Reported EBITDA tie live, both = 0 every month.</t>
  </si>
  <si>
    <t xml:space="preserve">Build tool / recalc</t>
  </si>
  <si>
    <t xml:space="preserve">Built with openpyxl; formula cells recalculated (cached values populated) via headless LibreOffice as the LAST write, per assembling-rules.md. Gated with references/validate_model.py before becoming canonical.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</si>
</sst>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3" min="2" style="0" width="13"/>
    <col collapsed="false" customWidth="true" hidden="false" outlineLevel="0" max="26" min="2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6" customFormat="false" ht="15" hidden="false" customHeight="false" outlineLevel="0" collapsed="false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</row>
    <row r="7" customFormat="false" ht="15" hidden="false" customHeight="false" outlineLevel="0" collapsed="false">
      <c r="A7" s="0" t="s">
        <v>28</v>
      </c>
      <c r="B7" s="4" t="n">
        <v>12605499.85</v>
      </c>
      <c r="C7" s="4" t="n">
        <v>12789883.68</v>
      </c>
      <c r="D7" s="4" t="n">
        <v>13135790.75</v>
      </c>
      <c r="E7" s="4" t="n">
        <v>11437823.94</v>
      </c>
      <c r="F7" s="4" t="n">
        <v>12196316.93</v>
      </c>
      <c r="G7" s="4" t="n">
        <v>12295356.12</v>
      </c>
      <c r="H7" s="4" t="n">
        <v>12414623.26</v>
      </c>
      <c r="I7" s="4" t="n">
        <v>12502992.83</v>
      </c>
      <c r="J7" s="4" t="n">
        <v>12797821.43</v>
      </c>
      <c r="K7" s="4" t="n">
        <v>13593990.62</v>
      </c>
      <c r="L7" s="4" t="n">
        <v>13459063.57</v>
      </c>
      <c r="M7" s="4" t="n">
        <v>13155748.43</v>
      </c>
      <c r="N7" s="4" t="n">
        <v>13257192.49</v>
      </c>
      <c r="O7" s="4" t="n">
        <v>13979176.71</v>
      </c>
      <c r="P7" s="4" t="n">
        <v>14953029.37</v>
      </c>
      <c r="Q7" s="4" t="n">
        <v>12954797.41</v>
      </c>
      <c r="R7" s="4" t="n">
        <v>13016048.01</v>
      </c>
      <c r="S7" s="4" t="n">
        <v>13214769.01</v>
      </c>
      <c r="T7" s="4" t="n">
        <v>13729801.29</v>
      </c>
      <c r="U7" s="4" t="n">
        <v>13919077.31</v>
      </c>
      <c r="V7" s="4" t="n">
        <v>14115739.46</v>
      </c>
      <c r="W7" s="4" t="n">
        <v>14657474.87</v>
      </c>
      <c r="X7" s="5" t="n">
        <f aca="false">SUM(B7:E7)</f>
        <v>49968998.22</v>
      </c>
      <c r="Y7" s="5" t="n">
        <f aca="false">SUM(F7:Q7)</f>
        <v>157560109.17</v>
      </c>
      <c r="Z7" s="5" t="n">
        <f aca="false">SUM(R7:W7)</f>
        <v>82652909.95</v>
      </c>
    </row>
    <row r="8" customFormat="false" ht="15" hidden="false" customHeight="false" outlineLevel="0" collapsed="false">
      <c r="A8" s="2" t="s">
        <v>29</v>
      </c>
      <c r="B8" s="4" t="n">
        <v>2199513.6</v>
      </c>
      <c r="C8" s="4" t="n">
        <v>2301954.6</v>
      </c>
      <c r="D8" s="4" t="n">
        <v>2318831.93</v>
      </c>
      <c r="E8" s="4" t="n">
        <v>1660921.81</v>
      </c>
      <c r="F8" s="4" t="n">
        <v>1940600.6</v>
      </c>
      <c r="G8" s="4" t="n">
        <v>1912990.98</v>
      </c>
      <c r="H8" s="4" t="n">
        <v>2011459.59</v>
      </c>
      <c r="I8" s="4" t="n">
        <v>2055899.04</v>
      </c>
      <c r="J8" s="4" t="n">
        <v>2060893.15</v>
      </c>
      <c r="K8" s="4" t="n">
        <v>2392917.02</v>
      </c>
      <c r="L8" s="4" t="n">
        <v>2382133.98</v>
      </c>
      <c r="M8" s="4" t="n">
        <v>2492072.87</v>
      </c>
      <c r="N8" s="4" t="n">
        <v>2305563.35</v>
      </c>
      <c r="O8" s="4" t="n">
        <v>2495150.93</v>
      </c>
      <c r="P8" s="4" t="n">
        <v>2835136.13</v>
      </c>
      <c r="Q8" s="4" t="n">
        <v>2248759.57</v>
      </c>
      <c r="R8" s="4" t="n">
        <v>2332371.67</v>
      </c>
      <c r="S8" s="4" t="n">
        <v>2306219.07</v>
      </c>
      <c r="T8" s="4" t="n">
        <v>2618535.91</v>
      </c>
      <c r="U8" s="4" t="n">
        <v>2763848.1</v>
      </c>
      <c r="V8" s="4" t="n">
        <v>2588973.9</v>
      </c>
      <c r="W8" s="4" t="n">
        <v>2696995.08</v>
      </c>
      <c r="X8" s="5" t="n">
        <f aca="false">SUM(B8:E8)</f>
        <v>8481221.94</v>
      </c>
      <c r="Y8" s="5" t="n">
        <f aca="false">SUM(F8:Q8)</f>
        <v>27133577.21</v>
      </c>
      <c r="Z8" s="5" t="n">
        <f aca="false">SUM(R8:W8)</f>
        <v>15306943.73</v>
      </c>
    </row>
    <row r="9" customFormat="false" ht="15" hidden="false" customHeight="false" outlineLevel="0" collapsed="false">
      <c r="A9" s="0" t="s">
        <v>30</v>
      </c>
      <c r="B9" s="6" t="n">
        <f aca="false">IF(B7=0,"",B8/B7)</f>
        <v>0.174488407930924</v>
      </c>
      <c r="C9" s="6" t="n">
        <f aca="false">IF(C7=0,"",C8/C7)</f>
        <v>0.179982450004581</v>
      </c>
      <c r="D9" s="6" t="n">
        <f aca="false">IF(D7=0,"",D8/D7)</f>
        <v>0.176527776220857</v>
      </c>
      <c r="E9" s="6" t="n">
        <f aca="false">IF(E7=0,"",E8/E7)</f>
        <v>0.145213094615968</v>
      </c>
      <c r="F9" s="6" t="n">
        <f aca="false">IF(F7=0,"",F8/F7)</f>
        <v>0.159113657929517</v>
      </c>
      <c r="G9" s="6" t="n">
        <f aca="false">IF(G7=0,"",G8/G7)</f>
        <v>0.155586463810371</v>
      </c>
      <c r="H9" s="6" t="n">
        <f aca="false">IF(H7=0,"",H8/H7)</f>
        <v>0.16202340964151</v>
      </c>
      <c r="I9" s="6" t="n">
        <f aca="false">IF(I7=0,"",I8/I7)</f>
        <v>0.164432553705623</v>
      </c>
      <c r="J9" s="6" t="n">
        <f aca="false">IF(J7=0,"",J8/J7)</f>
        <v>0.161034685573043</v>
      </c>
      <c r="K9" s="6" t="n">
        <f aca="false">IF(K7=0,"",K8/K7)</f>
        <v>0.17602756150791</v>
      </c>
      <c r="L9" s="6" t="n">
        <f aca="false">IF(L7=0,"",L8/L7)</f>
        <v>0.176991063873844</v>
      </c>
      <c r="M9" s="6" t="n">
        <f aca="false">IF(M7=0,"",M8/M7)</f>
        <v>0.189428437557923</v>
      </c>
      <c r="N9" s="6" t="n">
        <f aca="false">IF(N7=0,"",N8/N7)</f>
        <v>0.173910377460319</v>
      </c>
      <c r="O9" s="6" t="n">
        <f aca="false">IF(O7=0,"",O8/O7)</f>
        <v>0.178490549319338</v>
      </c>
      <c r="P9" s="6" t="n">
        <f aca="false">IF(P7=0,"",P8/P7)</f>
        <v>0.18960279284197</v>
      </c>
      <c r="Q9" s="6" t="n">
        <f aca="false">IF(Q7=0,"",Q8/Q7)</f>
        <v>0.17358508194533</v>
      </c>
      <c r="R9" s="6" t="n">
        <f aca="false">IF(R7=0,"",R8/R7)</f>
        <v>0.17919199961525</v>
      </c>
      <c r="S9" s="6" t="n">
        <f aca="false">IF(S7=0,"",S8/S7)</f>
        <v>0.17451830359311</v>
      </c>
      <c r="T9" s="6" t="n">
        <f aca="false">IF(T7=0,"",T8/T7)</f>
        <v>0.190719141136237</v>
      </c>
      <c r="U9" s="6" t="n">
        <f aca="false">IF(U7=0,"",U8/U7)</f>
        <v>0.19856546798647</v>
      </c>
      <c r="V9" s="6" t="n">
        <f aca="false">IF(V7=0,"",V8/V7)</f>
        <v>0.183410433958236</v>
      </c>
      <c r="W9" s="6" t="n">
        <f aca="false">IF(W7=0,"",W8/W7)</f>
        <v>0.184001344291576</v>
      </c>
      <c r="X9" s="6" t="n">
        <f aca="false">IF(X7=0,"",X8/X7)</f>
        <v>0.169729677242267</v>
      </c>
      <c r="Y9" s="6" t="n">
        <f aca="false">IF(Y7=0,"",Y8/Y7)</f>
        <v>0.172210957157463</v>
      </c>
      <c r="Z9" s="6" t="n">
        <f aca="false">IF(Z7=0,"",Z8/Z7)</f>
        <v>0.185195460622739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3" min="2" style="0" width="13"/>
    <col collapsed="false" customWidth="true" hidden="false" outlineLevel="0" max="26" min="24" style="0" width="16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" t="s">
        <v>32</v>
      </c>
    </row>
    <row r="6" customFormat="false" ht="15" hidden="false" customHeight="false" outlineLevel="0" collapsed="false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33</v>
      </c>
      <c r="Y6" s="3" t="s">
        <v>34</v>
      </c>
      <c r="Z6" s="3" t="s">
        <v>35</v>
      </c>
    </row>
    <row r="7" customFormat="false" ht="15" hidden="false" customHeight="false" outlineLevel="0" collapsed="false">
      <c r="A7" s="0" t="s">
        <v>36</v>
      </c>
      <c r="B7" s="4" t="n">
        <v>17530888.82</v>
      </c>
      <c r="C7" s="4" t="n">
        <v>17503382.15</v>
      </c>
      <c r="D7" s="4" t="n">
        <v>17891822.72</v>
      </c>
      <c r="E7" s="4" t="n">
        <v>15698032.1</v>
      </c>
      <c r="F7" s="4" t="n">
        <v>16936618.78</v>
      </c>
      <c r="G7" s="4" t="n">
        <v>16898737.45</v>
      </c>
      <c r="H7" s="4" t="n">
        <v>16822642.16</v>
      </c>
      <c r="I7" s="4" t="n">
        <v>16773181.65</v>
      </c>
      <c r="J7" s="4" t="n">
        <v>17133723.33</v>
      </c>
      <c r="K7" s="4" t="n">
        <v>18492358.57</v>
      </c>
      <c r="L7" s="4" t="n">
        <v>18407512.61</v>
      </c>
      <c r="M7" s="4" t="n">
        <v>18074244.24</v>
      </c>
      <c r="N7" s="4" t="n">
        <v>18032433.22</v>
      </c>
      <c r="O7" s="4" t="n">
        <v>19068528.98</v>
      </c>
      <c r="P7" s="4" t="n">
        <v>20708948.81</v>
      </c>
      <c r="Q7" s="4" t="n">
        <v>18035668.95</v>
      </c>
      <c r="R7" s="4" t="n">
        <v>17805085.94</v>
      </c>
      <c r="S7" s="4" t="n">
        <v>17955347.15</v>
      </c>
      <c r="T7" s="4" t="n">
        <v>18650562.07</v>
      </c>
      <c r="U7" s="4" t="n">
        <v>18777763.23</v>
      </c>
      <c r="V7" s="4" t="n">
        <v>18919796.12</v>
      </c>
      <c r="W7" s="4" t="n">
        <v>19744595.81</v>
      </c>
      <c r="X7" s="5" t="n">
        <f aca="false">E7</f>
        <v>15698032.1</v>
      </c>
      <c r="Y7" s="5" t="n">
        <f aca="false">Q7</f>
        <v>18035668.95</v>
      </c>
      <c r="Z7" s="5" t="n">
        <f aca="false">W7</f>
        <v>19744595.81</v>
      </c>
    </row>
    <row r="8" customFormat="false" ht="15" hidden="false" customHeight="false" outlineLevel="0" collapsed="false">
      <c r="A8" s="0" t="s">
        <v>37</v>
      </c>
      <c r="B8" s="4" t="n">
        <v>8239458.92</v>
      </c>
      <c r="C8" s="4" t="n">
        <v>8396814.43</v>
      </c>
      <c r="D8" s="4" t="n">
        <v>8688537.43</v>
      </c>
      <c r="E8" s="4" t="n">
        <v>7680727.54</v>
      </c>
      <c r="F8" s="4" t="n">
        <v>8217878.35</v>
      </c>
      <c r="G8" s="4" t="n">
        <v>8308218.04</v>
      </c>
      <c r="H8" s="4" t="n">
        <v>8268139.09</v>
      </c>
      <c r="I8" s="4" t="n">
        <v>8396009.75</v>
      </c>
      <c r="J8" s="4" t="n">
        <v>8649279.64</v>
      </c>
      <c r="K8" s="4" t="n">
        <v>9027497.29</v>
      </c>
      <c r="L8" s="4" t="n">
        <v>8991192.83</v>
      </c>
      <c r="M8" s="4" t="n">
        <v>8501244.64</v>
      </c>
      <c r="N8" s="4" t="n">
        <v>8784746.03</v>
      </c>
      <c r="O8" s="4" t="n">
        <v>9392329.25</v>
      </c>
      <c r="P8" s="4" t="n">
        <v>9944362.66</v>
      </c>
      <c r="Q8" s="4" t="n">
        <v>8540838.84</v>
      </c>
      <c r="R8" s="4" t="n">
        <v>8593715.54</v>
      </c>
      <c r="S8" s="4" t="n">
        <v>8785178.44</v>
      </c>
      <c r="T8" s="4" t="n">
        <v>8896911.24</v>
      </c>
      <c r="U8" s="4" t="n">
        <v>9007870.07</v>
      </c>
      <c r="V8" s="4" t="n">
        <v>9375674.15</v>
      </c>
      <c r="W8" s="4" t="n">
        <v>9760119.37</v>
      </c>
      <c r="X8" s="5" t="n">
        <f aca="false">E8</f>
        <v>7680727.54</v>
      </c>
      <c r="Y8" s="5" t="n">
        <f aca="false">Q8</f>
        <v>8540838.84</v>
      </c>
      <c r="Z8" s="5" t="n">
        <f aca="false">W8</f>
        <v>9760119.37</v>
      </c>
    </row>
    <row r="9" customFormat="false" ht="15" hidden="false" customHeight="false" outlineLevel="0" collapsed="false">
      <c r="A9" s="2" t="s">
        <v>38</v>
      </c>
      <c r="B9" s="5" t="n">
        <f aca="false">B7-B8</f>
        <v>9291429.9</v>
      </c>
      <c r="C9" s="5" t="n">
        <f aca="false">C7-C8</f>
        <v>9106567.72</v>
      </c>
      <c r="D9" s="5" t="n">
        <f aca="false">D7-D8</f>
        <v>9203285.29</v>
      </c>
      <c r="E9" s="5" t="n">
        <f aca="false">E7-E8</f>
        <v>8017304.56</v>
      </c>
      <c r="F9" s="5" t="n">
        <f aca="false">F7-F8</f>
        <v>8718740.43</v>
      </c>
      <c r="G9" s="5" t="n">
        <f aca="false">G7-G8</f>
        <v>8590519.41</v>
      </c>
      <c r="H9" s="5" t="n">
        <f aca="false">H7-H8</f>
        <v>8554503.07</v>
      </c>
      <c r="I9" s="5" t="n">
        <f aca="false">I7-I8</f>
        <v>8377171.9</v>
      </c>
      <c r="J9" s="5" t="n">
        <f aca="false">J7-J8</f>
        <v>8484443.69</v>
      </c>
      <c r="K9" s="5" t="n">
        <f aca="false">K7-K8</f>
        <v>9464861.28</v>
      </c>
      <c r="L9" s="5" t="n">
        <f aca="false">L7-L8</f>
        <v>9416319.78</v>
      </c>
      <c r="M9" s="5" t="n">
        <f aca="false">M7-M8</f>
        <v>9572999.6</v>
      </c>
      <c r="N9" s="5" t="n">
        <f aca="false">N7-N8</f>
        <v>9247687.19</v>
      </c>
      <c r="O9" s="5" t="n">
        <f aca="false">O7-O8</f>
        <v>9676199.73</v>
      </c>
      <c r="P9" s="5" t="n">
        <f aca="false">P7-P8</f>
        <v>10764586.15</v>
      </c>
      <c r="Q9" s="5" t="n">
        <f aca="false">Q7-Q8</f>
        <v>9494830.11</v>
      </c>
      <c r="R9" s="5" t="n">
        <f aca="false">R7-R8</f>
        <v>9211370.4</v>
      </c>
      <c r="S9" s="5" t="n">
        <f aca="false">S7-S8</f>
        <v>9170168.71</v>
      </c>
      <c r="T9" s="5" t="n">
        <f aca="false">T7-T8</f>
        <v>9753650.83</v>
      </c>
      <c r="U9" s="5" t="n">
        <f aca="false">U7-U8</f>
        <v>9769893.16</v>
      </c>
      <c r="V9" s="5" t="n">
        <f aca="false">V7-V8</f>
        <v>9544121.97</v>
      </c>
      <c r="W9" s="5" t="n">
        <f aca="false">W7-W8</f>
        <v>9984476.44</v>
      </c>
      <c r="X9" s="5" t="n">
        <f aca="false">E9</f>
        <v>8017304.56</v>
      </c>
      <c r="Y9" s="5" t="n">
        <f aca="false">Q9</f>
        <v>9494830.11</v>
      </c>
      <c r="Z9" s="5" t="n">
        <f aca="false">W9</f>
        <v>9984476.44</v>
      </c>
    </row>
    <row r="11" customFormat="false" ht="15" hidden="false" customHeight="false" outlineLevel="0" collapsed="false">
      <c r="A11" s="7" t="s">
        <v>39</v>
      </c>
    </row>
    <row r="12" customFormat="false" ht="15" hidden="false" customHeight="false" outlineLevel="0" collapsed="false">
      <c r="A12" s="0" t="s">
        <v>40</v>
      </c>
      <c r="B12" s="4" t="n">
        <v>123801733.88</v>
      </c>
      <c r="C12" s="4" t="n">
        <v>123554130.41</v>
      </c>
      <c r="D12" s="4" t="n">
        <v>123307022.15</v>
      </c>
      <c r="E12" s="4" t="n">
        <v>123060408.11</v>
      </c>
      <c r="F12" s="4" t="n">
        <v>122814287.29</v>
      </c>
      <c r="G12" s="4" t="n">
        <v>122568658.72</v>
      </c>
      <c r="H12" s="4" t="n">
        <v>122323521.4</v>
      </c>
      <c r="I12" s="4" t="n">
        <v>122078874.36</v>
      </c>
      <c r="J12" s="4" t="n">
        <v>121834716.61</v>
      </c>
      <c r="K12" s="4" t="n">
        <v>121591047.18</v>
      </c>
      <c r="L12" s="4" t="n">
        <v>121347865.09</v>
      </c>
      <c r="M12" s="4" t="n">
        <v>121105169.36</v>
      </c>
      <c r="N12" s="4" t="n">
        <v>120862959.02</v>
      </c>
      <c r="O12" s="4" t="n">
        <v>120621233.1</v>
      </c>
      <c r="P12" s="4" t="n">
        <v>118208808.44</v>
      </c>
      <c r="Q12" s="4" t="n">
        <v>115844632.27</v>
      </c>
      <c r="R12" s="4" t="n">
        <v>113527739.62</v>
      </c>
      <c r="S12" s="4" t="n">
        <v>111257184.83</v>
      </c>
      <c r="T12" s="4" t="n">
        <v>109032041.13</v>
      </c>
      <c r="U12" s="4" t="n">
        <v>106851400.31</v>
      </c>
      <c r="V12" s="4" t="n">
        <v>104714372.3</v>
      </c>
      <c r="W12" s="4" t="n">
        <v>102620084.85</v>
      </c>
      <c r="X12" s="5" t="n">
        <f aca="false">B12</f>
        <v>123801733.88</v>
      </c>
      <c r="Y12" s="5" t="n">
        <f aca="false">F12</f>
        <v>122814287.29</v>
      </c>
      <c r="Z12" s="5" t="n">
        <f aca="false">R12</f>
        <v>113527739.62</v>
      </c>
    </row>
    <row r="13" customFormat="false" ht="15" hidden="false" customHeight="false" outlineLevel="0" collapsed="false">
      <c r="A13" s="0" t="s">
        <v>41</v>
      </c>
      <c r="B13" s="4" t="n">
        <v>247603.47</v>
      </c>
      <c r="C13" s="4" t="n">
        <v>247108.26</v>
      </c>
      <c r="D13" s="4" t="n">
        <v>246614.04</v>
      </c>
      <c r="E13" s="4" t="n">
        <v>246120.82</v>
      </c>
      <c r="F13" s="4" t="n">
        <v>245628.57</v>
      </c>
      <c r="G13" s="4" t="n">
        <v>245137.32</v>
      </c>
      <c r="H13" s="4" t="n">
        <v>244647.04</v>
      </c>
      <c r="I13" s="4" t="n">
        <v>244157.75</v>
      </c>
      <c r="J13" s="4" t="n">
        <v>243669.43</v>
      </c>
      <c r="K13" s="4" t="n">
        <v>243182.09</v>
      </c>
      <c r="L13" s="4" t="n">
        <v>242695.73</v>
      </c>
      <c r="M13" s="4" t="n">
        <v>242210.34</v>
      </c>
      <c r="N13" s="4" t="n">
        <v>241725.92</v>
      </c>
      <c r="O13" s="4" t="n">
        <v>2412424.66</v>
      </c>
      <c r="P13" s="4" t="n">
        <v>2364176.17</v>
      </c>
      <c r="Q13" s="4" t="n">
        <v>2316892.65</v>
      </c>
      <c r="R13" s="4" t="n">
        <v>2270554.79</v>
      </c>
      <c r="S13" s="4" t="n">
        <v>2225143.7</v>
      </c>
      <c r="T13" s="4" t="n">
        <v>2180640.82</v>
      </c>
      <c r="U13" s="4" t="n">
        <v>2137028.01</v>
      </c>
      <c r="V13" s="4" t="n">
        <v>2094287.45</v>
      </c>
      <c r="W13" s="4" t="n">
        <v>2052401.7</v>
      </c>
      <c r="X13" s="5" t="n">
        <f aca="false">SUM(B13:E13)</f>
        <v>987446.59</v>
      </c>
      <c r="Y13" s="5" t="n">
        <f aca="false">SUM(F13:Q13)</f>
        <v>9286547.67</v>
      </c>
      <c r="Z13" s="5" t="n">
        <f aca="false">SUM(R13:W13)</f>
        <v>12960056.47</v>
      </c>
    </row>
    <row r="14" customFormat="false" ht="15" hidden="false" customHeight="false" outlineLevel="0" collapsed="false">
      <c r="A14" s="0" t="s">
        <v>42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f aca="false">SUM(B14:E14)</f>
        <v>0</v>
      </c>
      <c r="Y14" s="5" t="n">
        <f aca="false">SUM(F14:Q14)</f>
        <v>0</v>
      </c>
      <c r="Z14" s="5" t="n">
        <f aca="false">SUM(R14:W14)</f>
        <v>0</v>
      </c>
    </row>
    <row r="15" customFormat="false" ht="15" hidden="false" customHeight="false" outlineLevel="0" collapsed="false">
      <c r="A15" s="0" t="s">
        <v>43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f aca="false">SUM(B15:E15)</f>
        <v>0</v>
      </c>
      <c r="Y15" s="5" t="n">
        <f aca="false">SUM(F15:Q15)</f>
        <v>0</v>
      </c>
      <c r="Z15" s="5" t="n">
        <f aca="false">SUM(R15:W15)</f>
        <v>0</v>
      </c>
    </row>
    <row r="16" customFormat="false" ht="15" hidden="false" customHeight="false" outlineLevel="0" collapsed="false">
      <c r="A16" s="2" t="s">
        <v>44</v>
      </c>
      <c r="B16" s="5" t="n">
        <f aca="false">B12-B13+B14+B15</f>
        <v>123554130.41</v>
      </c>
      <c r="C16" s="5" t="n">
        <f aca="false">C12-C13+C14+C15</f>
        <v>123307022.15</v>
      </c>
      <c r="D16" s="5" t="n">
        <f aca="false">D12-D13+D14+D15</f>
        <v>123060408.11</v>
      </c>
      <c r="E16" s="5" t="n">
        <f aca="false">E12-E13+E14+E15</f>
        <v>122814287.29</v>
      </c>
      <c r="F16" s="5" t="n">
        <f aca="false">F12-F13+F14+F15</f>
        <v>122568658.72</v>
      </c>
      <c r="G16" s="5" t="n">
        <f aca="false">G12-G13+G14+G15</f>
        <v>122323521.4</v>
      </c>
      <c r="H16" s="5" t="n">
        <f aca="false">H12-H13+H14+H15</f>
        <v>122078874.36</v>
      </c>
      <c r="I16" s="5" t="n">
        <f aca="false">I12-I13+I14+I15</f>
        <v>121834716.61</v>
      </c>
      <c r="J16" s="5" t="n">
        <f aca="false">J12-J13+J14+J15</f>
        <v>121591047.18</v>
      </c>
      <c r="K16" s="5" t="n">
        <f aca="false">K12-K13+K14+K15</f>
        <v>121347865.09</v>
      </c>
      <c r="L16" s="5" t="n">
        <f aca="false">L12-L13+L14+L15</f>
        <v>121105169.36</v>
      </c>
      <c r="M16" s="5" t="n">
        <f aca="false">M12-M13+M14+M15</f>
        <v>120862959.02</v>
      </c>
      <c r="N16" s="5" t="n">
        <f aca="false">N12-N13+N14+N15</f>
        <v>120621233.1</v>
      </c>
      <c r="O16" s="5" t="n">
        <f aca="false">O12-O13+O14+O15</f>
        <v>118208808.44</v>
      </c>
      <c r="P16" s="5" t="n">
        <f aca="false">P12-P13+P14+P15</f>
        <v>115844632.27</v>
      </c>
      <c r="Q16" s="5" t="n">
        <f aca="false">Q12-Q13+Q14+Q15</f>
        <v>113527739.62</v>
      </c>
      <c r="R16" s="5" t="n">
        <f aca="false">R12-R13+R14+R15</f>
        <v>111257184.83</v>
      </c>
      <c r="S16" s="5" t="n">
        <f aca="false">S12-S13+S14+S15</f>
        <v>109032041.13</v>
      </c>
      <c r="T16" s="5" t="n">
        <f aca="false">T12-T13+T14+T15</f>
        <v>106851400.31</v>
      </c>
      <c r="U16" s="5" t="n">
        <f aca="false">U12-U13+U14+U15</f>
        <v>104714372.3</v>
      </c>
      <c r="V16" s="5" t="n">
        <f aca="false">V12-V13+V14+V15</f>
        <v>102620084.85</v>
      </c>
      <c r="W16" s="5" t="n">
        <f aca="false">W12-W13+W14+W15</f>
        <v>100567683.15</v>
      </c>
      <c r="X16" s="5" t="n">
        <f aca="false">E16</f>
        <v>122814287.29</v>
      </c>
      <c r="Y16" s="5" t="n">
        <f aca="false">Q16</f>
        <v>113527739.62</v>
      </c>
      <c r="Z16" s="5" t="n">
        <f aca="false">W16</f>
        <v>100567683.15</v>
      </c>
    </row>
    <row r="18" customFormat="false" ht="15" hidden="false" customHeight="false" outlineLevel="0" collapsed="false">
      <c r="A18" s="7" t="s">
        <v>45</v>
      </c>
    </row>
    <row r="19" customFormat="false" ht="15" hidden="false" customHeight="false" outlineLevel="0" collapsed="false">
      <c r="A19" s="0" t="s">
        <v>46</v>
      </c>
      <c r="B19" s="5" t="n">
        <f aca="false">-'Cash Flow Statement'!B12</f>
        <v>1058000.7</v>
      </c>
      <c r="C19" s="5" t="n">
        <f aca="false">-'Cash Flow Statement'!C12</f>
        <v>1055884.7</v>
      </c>
      <c r="D19" s="5" t="n">
        <f aca="false">-'Cash Flow Statement'!D12</f>
        <v>1053772.93</v>
      </c>
      <c r="E19" s="5" t="n">
        <f aca="false">-'Cash Flow Statement'!E12</f>
        <v>1051665.39</v>
      </c>
      <c r="F19" s="5" t="n">
        <f aca="false">-'Cash Flow Statement'!F12</f>
        <v>1049562.06</v>
      </c>
      <c r="G19" s="5" t="n">
        <f aca="false">-'Cash Flow Statement'!G12</f>
        <v>1047462.93</v>
      </c>
      <c r="H19" s="5" t="n">
        <f aca="false">-'Cash Flow Statement'!H12</f>
        <v>1045368.01</v>
      </c>
      <c r="I19" s="5" t="n">
        <f aca="false">-'Cash Flow Statement'!I12</f>
        <v>1043277.27</v>
      </c>
      <c r="J19" s="5" t="n">
        <f aca="false">-'Cash Flow Statement'!J12</f>
        <v>1041190.72</v>
      </c>
      <c r="K19" s="5" t="n">
        <f aca="false">-'Cash Flow Statement'!K12</f>
        <v>1039108.33</v>
      </c>
      <c r="L19" s="5" t="n">
        <f aca="false">-'Cash Flow Statement'!L12</f>
        <v>1037030.12</v>
      </c>
      <c r="M19" s="5" t="n">
        <f aca="false">-'Cash Flow Statement'!M12</f>
        <v>1034956.06</v>
      </c>
      <c r="N19" s="5" t="n">
        <f aca="false">-'Cash Flow Statement'!N12</f>
        <v>1032886.14</v>
      </c>
      <c r="O19" s="5" t="n">
        <f aca="false">-'Cash Flow Statement'!O12</f>
        <v>1030820.37</v>
      </c>
      <c r="P19" s="5" t="n">
        <f aca="false">-'Cash Flow Statement'!P12</f>
        <v>1010203.97</v>
      </c>
      <c r="Q19" s="5" t="n">
        <f aca="false">-'Cash Flow Statement'!Q12</f>
        <v>989999.89</v>
      </c>
      <c r="R19" s="5" t="n">
        <f aca="false">-'Cash Flow Statement'!R12</f>
        <v>970199.89</v>
      </c>
      <c r="S19" s="5" t="n">
        <f aca="false">-'Cash Flow Statement'!S12</f>
        <v>950795.89</v>
      </c>
      <c r="T19" s="5" t="n">
        <f aca="false">-'Cash Flow Statement'!T12</f>
        <v>931779.97</v>
      </c>
      <c r="U19" s="5" t="n">
        <f aca="false">-'Cash Flow Statement'!U12</f>
        <v>913144.37</v>
      </c>
      <c r="V19" s="5" t="n">
        <f aca="false">-'Cash Flow Statement'!V12</f>
        <v>894881.49</v>
      </c>
      <c r="W19" s="5" t="n">
        <f aca="false">-'Cash Flow Statement'!W12</f>
        <v>876983.86</v>
      </c>
      <c r="X19" s="5" t="n">
        <f aca="false">SUM(B19:E19)</f>
        <v>4219323.72</v>
      </c>
      <c r="Y19" s="5" t="n">
        <f aca="false">SUM(F19:Q19)</f>
        <v>12401865.87</v>
      </c>
      <c r="Z19" s="5" t="n">
        <f aca="false">SUM(R19:W19)</f>
        <v>5537785.47</v>
      </c>
    </row>
    <row r="20" customFormat="false" ht="15" hidden="false" customHeight="false" outlineLevel="0" collapsed="false">
      <c r="A20" s="0" t="s">
        <v>47</v>
      </c>
      <c r="B20" s="5" t="n">
        <f aca="false">-'Cash Flow Statement'!B18</f>
        <v>247603.47</v>
      </c>
      <c r="C20" s="5" t="n">
        <f aca="false">-'Cash Flow Statement'!C18</f>
        <v>247108.26</v>
      </c>
      <c r="D20" s="5" t="n">
        <f aca="false">-'Cash Flow Statement'!D18</f>
        <v>246614.04</v>
      </c>
      <c r="E20" s="5" t="n">
        <f aca="false">-'Cash Flow Statement'!E18</f>
        <v>246120.82</v>
      </c>
      <c r="F20" s="5" t="n">
        <f aca="false">-'Cash Flow Statement'!F18</f>
        <v>245628.57</v>
      </c>
      <c r="G20" s="5" t="n">
        <f aca="false">-'Cash Flow Statement'!G18</f>
        <v>245137.32</v>
      </c>
      <c r="H20" s="5" t="n">
        <f aca="false">-'Cash Flow Statement'!H18</f>
        <v>244647.04</v>
      </c>
      <c r="I20" s="5" t="n">
        <f aca="false">-'Cash Flow Statement'!I18</f>
        <v>244157.75</v>
      </c>
      <c r="J20" s="5" t="n">
        <f aca="false">-'Cash Flow Statement'!J18</f>
        <v>243669.43</v>
      </c>
      <c r="K20" s="5" t="n">
        <f aca="false">-'Cash Flow Statement'!K18</f>
        <v>243182.09</v>
      </c>
      <c r="L20" s="5" t="n">
        <f aca="false">-'Cash Flow Statement'!L18</f>
        <v>242695.73</v>
      </c>
      <c r="M20" s="5" t="n">
        <f aca="false">-'Cash Flow Statement'!M18</f>
        <v>242210.34</v>
      </c>
      <c r="N20" s="5" t="n">
        <f aca="false">-'Cash Flow Statement'!N18</f>
        <v>241725.92</v>
      </c>
      <c r="O20" s="5" t="n">
        <f aca="false">-'Cash Flow Statement'!O18</f>
        <v>2412424.66</v>
      </c>
      <c r="P20" s="5" t="n">
        <f aca="false">-'Cash Flow Statement'!P18</f>
        <v>2364176.17</v>
      </c>
      <c r="Q20" s="5" t="n">
        <f aca="false">-'Cash Flow Statement'!Q18</f>
        <v>2316892.65</v>
      </c>
      <c r="R20" s="5" t="n">
        <f aca="false">-'Cash Flow Statement'!R18</f>
        <v>2270554.79</v>
      </c>
      <c r="S20" s="5" t="n">
        <f aca="false">-'Cash Flow Statement'!S18</f>
        <v>2225143.7</v>
      </c>
      <c r="T20" s="5" t="n">
        <f aca="false">-'Cash Flow Statement'!T18</f>
        <v>2180640.82</v>
      </c>
      <c r="U20" s="5" t="n">
        <f aca="false">-'Cash Flow Statement'!U18</f>
        <v>2137028.01</v>
      </c>
      <c r="V20" s="5" t="n">
        <f aca="false">-'Cash Flow Statement'!V18</f>
        <v>2094287.45</v>
      </c>
      <c r="W20" s="5" t="n">
        <f aca="false">-'Cash Flow Statement'!W18</f>
        <v>2052401.7</v>
      </c>
      <c r="X20" s="5" t="n">
        <f aca="false">SUM(B20:E20)</f>
        <v>987446.59</v>
      </c>
      <c r="Y20" s="5" t="n">
        <f aca="false">SUM(F20:Q20)</f>
        <v>9286547.67</v>
      </c>
      <c r="Z20" s="5" t="n">
        <f aca="false">SUM(R20:W20)</f>
        <v>12960056.47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3" min="2" style="0" width="13"/>
    <col collapsed="false" customWidth="true" hidden="false" outlineLevel="0" max="26" min="24" style="0" width="16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6" customFormat="false" ht="15" hidden="false" customHeight="false" outlineLevel="0" collapsed="false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</row>
    <row r="7" customFormat="false" ht="15" hidden="false" customHeight="false" outlineLevel="0" collapsed="false">
      <c r="A7" s="0" t="s">
        <v>50</v>
      </c>
      <c r="B7" s="4" t="n">
        <v>8421637.41</v>
      </c>
      <c r="C7" s="4" t="n">
        <v>8869981.82</v>
      </c>
      <c r="D7" s="4" t="n">
        <v>9440990.12</v>
      </c>
      <c r="E7" s="4" t="n">
        <v>9588281.99</v>
      </c>
      <c r="F7" s="4" t="n">
        <v>11902593.34</v>
      </c>
      <c r="G7" s="4" t="n">
        <v>18843648.31</v>
      </c>
      <c r="H7" s="4" t="n">
        <v>19089598.34</v>
      </c>
      <c r="I7" s="4" t="n">
        <v>19479483.29</v>
      </c>
      <c r="J7" s="4" t="n">
        <v>19868595.12</v>
      </c>
      <c r="K7" s="4" t="n">
        <v>19830995.67</v>
      </c>
      <c r="L7" s="4" t="n">
        <v>19072755.72</v>
      </c>
      <c r="M7" s="4" t="n">
        <v>19809761.14</v>
      </c>
      <c r="N7" s="4" t="n">
        <v>20960406.34</v>
      </c>
      <c r="O7" s="4" t="n">
        <v>21547627.6</v>
      </c>
      <c r="P7" s="4" t="n">
        <v>19014389.66</v>
      </c>
      <c r="Q7" s="4" t="n">
        <v>16246988.43</v>
      </c>
      <c r="R7" s="4" t="n">
        <v>17597496.57</v>
      </c>
      <c r="S7" s="4" t="n">
        <v>16470643.92</v>
      </c>
      <c r="T7" s="4" t="n">
        <v>14979785.54</v>
      </c>
      <c r="U7" s="4" t="n">
        <v>13295255.49</v>
      </c>
      <c r="V7" s="4" t="n">
        <v>12377153.2</v>
      </c>
      <c r="W7" s="4" t="n">
        <v>11304193.71</v>
      </c>
      <c r="X7" s="5" t="n">
        <f aca="false">B7</f>
        <v>8421637.41</v>
      </c>
      <c r="Y7" s="5" t="n">
        <f aca="false">F7</f>
        <v>11902593.34</v>
      </c>
      <c r="Z7" s="5" t="n">
        <f aca="false">R7</f>
        <v>17597496.57</v>
      </c>
    </row>
    <row r="8" customFormat="false" ht="15" hidden="false" customHeight="false" outlineLevel="0" collapsed="false">
      <c r="A8" s="0" t="s">
        <v>29</v>
      </c>
      <c r="B8" s="4" t="n">
        <v>2199513.6</v>
      </c>
      <c r="C8" s="4" t="n">
        <v>2301954.6</v>
      </c>
      <c r="D8" s="4" t="n">
        <v>2318831.93</v>
      </c>
      <c r="E8" s="4" t="n">
        <v>1660921.81</v>
      </c>
      <c r="F8" s="4" t="n">
        <v>1940600.6</v>
      </c>
      <c r="G8" s="4" t="n">
        <v>1912990.98</v>
      </c>
      <c r="H8" s="4" t="n">
        <v>2011459.59</v>
      </c>
      <c r="I8" s="4" t="n">
        <v>2055899.04</v>
      </c>
      <c r="J8" s="4" t="n">
        <v>2060893.15</v>
      </c>
      <c r="K8" s="4" t="n">
        <v>2392917.02</v>
      </c>
      <c r="L8" s="4" t="n">
        <v>2382133.98</v>
      </c>
      <c r="M8" s="4" t="n">
        <v>2492072.87</v>
      </c>
      <c r="N8" s="4" t="n">
        <v>2305563.35</v>
      </c>
      <c r="O8" s="4" t="n">
        <v>2495150.93</v>
      </c>
      <c r="P8" s="4" t="n">
        <v>2835136.13</v>
      </c>
      <c r="Q8" s="4" t="n">
        <v>2248759.57</v>
      </c>
      <c r="R8" s="4" t="n">
        <v>2332371.67</v>
      </c>
      <c r="S8" s="4" t="n">
        <v>2306219.07</v>
      </c>
      <c r="T8" s="4" t="n">
        <v>2618535.91</v>
      </c>
      <c r="U8" s="4" t="n">
        <v>2763848.1</v>
      </c>
      <c r="V8" s="4" t="n">
        <v>2588973.9</v>
      </c>
      <c r="W8" s="4" t="n">
        <v>2696995.08</v>
      </c>
      <c r="X8" s="5" t="n">
        <f aca="false">SUM(B8:E8)</f>
        <v>8481221.94</v>
      </c>
      <c r="Y8" s="5" t="n">
        <f aca="false">SUM(F8:Q8)</f>
        <v>27133577.21</v>
      </c>
      <c r="Z8" s="5" t="n">
        <f aca="false">SUM(R8:W8)</f>
        <v>15306943.73</v>
      </c>
    </row>
    <row r="9" customFormat="false" ht="15" hidden="false" customHeight="false" outlineLevel="0" collapsed="false">
      <c r="A9" s="0" t="s">
        <v>51</v>
      </c>
      <c r="B9" s="4" t="n">
        <v>-153965.95</v>
      </c>
      <c r="C9" s="4" t="n">
        <v>-161136.82</v>
      </c>
      <c r="D9" s="4" t="n">
        <v>-162318.24</v>
      </c>
      <c r="E9" s="4" t="n">
        <v>-116264.53</v>
      </c>
      <c r="F9" s="4" t="n">
        <v>-135842.04</v>
      </c>
      <c r="G9" s="4" t="n">
        <v>-133909.37</v>
      </c>
      <c r="H9" s="4" t="n">
        <v>-140802.17</v>
      </c>
      <c r="I9" s="4" t="n">
        <v>-143912.93</v>
      </c>
      <c r="J9" s="4" t="n">
        <v>-144262.52</v>
      </c>
      <c r="K9" s="4" t="n">
        <v>-167504.19</v>
      </c>
      <c r="L9" s="4" t="n">
        <v>-166749.38</v>
      </c>
      <c r="M9" s="4" t="n">
        <v>-174445.1</v>
      </c>
      <c r="N9" s="4" t="n">
        <v>-161389.43</v>
      </c>
      <c r="O9" s="4" t="n">
        <v>-174660.57</v>
      </c>
      <c r="P9" s="4" t="n">
        <v>-198459.53</v>
      </c>
      <c r="Q9" s="4" t="n">
        <v>-157413.17</v>
      </c>
      <c r="R9" s="4" t="n">
        <v>-163266.02</v>
      </c>
      <c r="S9" s="4" t="n">
        <v>-161435.33</v>
      </c>
      <c r="T9" s="4" t="n">
        <v>-183297.51</v>
      </c>
      <c r="U9" s="4" t="n">
        <v>-193469.37</v>
      </c>
      <c r="V9" s="4" t="n">
        <v>-181228.17</v>
      </c>
      <c r="W9" s="4" t="n">
        <v>-188789.66</v>
      </c>
      <c r="X9" s="5" t="n">
        <f aca="false">SUM(B9:E9)</f>
        <v>-593685.54</v>
      </c>
      <c r="Y9" s="5" t="n">
        <f aca="false">SUM(F9:Q9)</f>
        <v>-1899350.4</v>
      </c>
      <c r="Z9" s="5" t="n">
        <f aca="false">SUM(R9:W9)</f>
        <v>-1071486.06</v>
      </c>
    </row>
    <row r="10" customFormat="false" ht="15" hidden="false" customHeight="false" outlineLevel="0" collapsed="false">
      <c r="A10" s="0" t="s">
        <v>52</v>
      </c>
      <c r="B10" s="4" t="n">
        <v>-252110</v>
      </c>
      <c r="C10" s="4" t="n">
        <v>-255797.67</v>
      </c>
      <c r="D10" s="4" t="n">
        <v>-262715.82</v>
      </c>
      <c r="E10" s="4" t="n">
        <v>-228756.48</v>
      </c>
      <c r="F10" s="4" t="n">
        <v>-243926.34</v>
      </c>
      <c r="G10" s="4" t="n">
        <v>-245907.12</v>
      </c>
      <c r="H10" s="4" t="n">
        <v>-248292.47</v>
      </c>
      <c r="I10" s="4" t="n">
        <v>-250059.86</v>
      </c>
      <c r="J10" s="4" t="n">
        <v>-255956.43</v>
      </c>
      <c r="K10" s="4" t="n">
        <v>-271879.81</v>
      </c>
      <c r="L10" s="4" t="n">
        <v>-269181.27</v>
      </c>
      <c r="M10" s="4" t="n">
        <v>-263114.97</v>
      </c>
      <c r="N10" s="4" t="n">
        <v>-265143.85</v>
      </c>
      <c r="O10" s="4" t="n">
        <v>-279583.53</v>
      </c>
      <c r="P10" s="4" t="n">
        <v>-299060.59</v>
      </c>
      <c r="Q10" s="4" t="n">
        <v>-259095.95</v>
      </c>
      <c r="R10" s="4" t="n">
        <v>-260320.96</v>
      </c>
      <c r="S10" s="4" t="n">
        <v>-264295.38</v>
      </c>
      <c r="T10" s="4" t="n">
        <v>-274596.03</v>
      </c>
      <c r="U10" s="4" t="n">
        <v>-278381.55</v>
      </c>
      <c r="V10" s="4" t="n">
        <v>-282314.79</v>
      </c>
      <c r="W10" s="4" t="n">
        <v>-293149.5</v>
      </c>
      <c r="X10" s="5" t="n">
        <f aca="false">SUM(B10:E10)</f>
        <v>-999379.97</v>
      </c>
      <c r="Y10" s="5" t="n">
        <f aca="false">SUM(F10:Q10)</f>
        <v>-3151202.19</v>
      </c>
      <c r="Z10" s="5" t="n">
        <f aca="false">SUM(R10:W10)</f>
        <v>-1653058.21</v>
      </c>
    </row>
    <row r="11" customFormat="false" ht="15" hidden="false" customHeight="false" outlineLevel="0" collapsed="false">
      <c r="A11" s="0" t="s">
        <v>53</v>
      </c>
      <c r="B11" s="4" t="n">
        <v>-15918.97</v>
      </c>
      <c r="C11" s="4" t="n">
        <v>7837.23</v>
      </c>
      <c r="D11" s="4" t="n">
        <v>-424905.94</v>
      </c>
      <c r="E11" s="4" t="n">
        <v>2319766.86</v>
      </c>
      <c r="F11" s="4" t="n">
        <v>-1305730.54</v>
      </c>
      <c r="G11" s="4" t="n">
        <v>26588.88</v>
      </c>
      <c r="H11" s="4" t="n">
        <v>81105.15</v>
      </c>
      <c r="I11" s="4" t="n">
        <v>33476.68</v>
      </c>
      <c r="J11" s="4" t="n">
        <v>-392200.41</v>
      </c>
      <c r="K11" s="4" t="n">
        <v>-1405912.45</v>
      </c>
      <c r="L11" s="4" t="n">
        <v>89384.02</v>
      </c>
      <c r="M11" s="4" t="n">
        <v>394511.89</v>
      </c>
      <c r="N11" s="4" t="n">
        <v>6373.35</v>
      </c>
      <c r="O11" s="4" t="n">
        <v>-1112043.66</v>
      </c>
      <c r="P11" s="4" t="n">
        <v>-1709424.01</v>
      </c>
      <c r="Q11" s="4" t="n">
        <v>2848720.33</v>
      </c>
      <c r="R11" s="4" t="n">
        <v>223973.42</v>
      </c>
      <c r="S11" s="4" t="n">
        <v>-174194.06</v>
      </c>
      <c r="T11" s="4" t="n">
        <v>-709181.53</v>
      </c>
      <c r="U11" s="4" t="n">
        <v>-141071.01</v>
      </c>
      <c r="V11" s="4" t="n">
        <v>-188008.4</v>
      </c>
      <c r="W11" s="4" t="n">
        <v>-872855.34</v>
      </c>
      <c r="X11" s="5" t="n">
        <f aca="false">SUM(B11:E11)</f>
        <v>1886779.18</v>
      </c>
      <c r="Y11" s="5" t="n">
        <f aca="false">SUM(F11:Q11)</f>
        <v>-2445150.77</v>
      </c>
      <c r="Z11" s="5" t="n">
        <f aca="false">SUM(R11:W11)</f>
        <v>-1861336.92</v>
      </c>
    </row>
    <row r="12" customFormat="false" ht="15" hidden="false" customHeight="false" outlineLevel="0" collapsed="false">
      <c r="A12" s="0" t="s">
        <v>54</v>
      </c>
      <c r="B12" s="4" t="n">
        <v>-1058000.7</v>
      </c>
      <c r="C12" s="4" t="n">
        <v>-1055884.7</v>
      </c>
      <c r="D12" s="4" t="n">
        <v>-1053772.93</v>
      </c>
      <c r="E12" s="4" t="n">
        <v>-1051665.39</v>
      </c>
      <c r="F12" s="4" t="n">
        <v>-1049562.06</v>
      </c>
      <c r="G12" s="4" t="n">
        <v>-1047462.93</v>
      </c>
      <c r="H12" s="4" t="n">
        <v>-1045368.01</v>
      </c>
      <c r="I12" s="4" t="n">
        <v>-1043277.27</v>
      </c>
      <c r="J12" s="4" t="n">
        <v>-1041190.72</v>
      </c>
      <c r="K12" s="4" t="n">
        <v>-1039108.33</v>
      </c>
      <c r="L12" s="4" t="n">
        <v>-1037030.12</v>
      </c>
      <c r="M12" s="4" t="n">
        <v>-1034956.06</v>
      </c>
      <c r="N12" s="4" t="n">
        <v>-1032886.14</v>
      </c>
      <c r="O12" s="4" t="n">
        <v>-1030820.37</v>
      </c>
      <c r="P12" s="4" t="n">
        <v>-1010203.97</v>
      </c>
      <c r="Q12" s="4" t="n">
        <v>-989999.89</v>
      </c>
      <c r="R12" s="4" t="n">
        <v>-970199.89</v>
      </c>
      <c r="S12" s="4" t="n">
        <v>-950795.89</v>
      </c>
      <c r="T12" s="4" t="n">
        <v>-931779.97</v>
      </c>
      <c r="U12" s="4" t="n">
        <v>-913144.37</v>
      </c>
      <c r="V12" s="4" t="n">
        <v>-894881.49</v>
      </c>
      <c r="W12" s="4" t="n">
        <v>-876983.86</v>
      </c>
      <c r="X12" s="5" t="n">
        <f aca="false">SUM(B12:E12)</f>
        <v>-4219323.72</v>
      </c>
      <c r="Y12" s="5" t="n">
        <f aca="false">SUM(F12:Q12)</f>
        <v>-12401865.87</v>
      </c>
      <c r="Z12" s="5" t="n">
        <f aca="false">SUM(R12:W12)</f>
        <v>-5537785.47</v>
      </c>
    </row>
    <row r="13" customFormat="false" ht="15" hidden="false" customHeight="false" outlineLevel="0" collapsed="false">
      <c r="A13" s="0" t="s">
        <v>55</v>
      </c>
      <c r="B13" s="4" t="n">
        <v>-23570.1</v>
      </c>
      <c r="C13" s="4" t="n">
        <v>-18856.08</v>
      </c>
      <c r="D13" s="4" t="n">
        <v>-21213.09</v>
      </c>
      <c r="E13" s="4" t="n">
        <v>-23570.1</v>
      </c>
      <c r="F13" s="4" t="n">
        <v>-18856.08</v>
      </c>
      <c r="G13" s="4" t="n">
        <v>-21213.09</v>
      </c>
      <c r="H13" s="4" t="n">
        <v>-23570.1</v>
      </c>
      <c r="I13" s="4" t="n">
        <v>-18856.08</v>
      </c>
      <c r="J13" s="4" t="n">
        <v>-21213.09</v>
      </c>
      <c r="K13" s="4" t="n">
        <v>-23570.1</v>
      </c>
      <c r="L13" s="4" t="n">
        <v>-18856.08</v>
      </c>
      <c r="M13" s="4" t="n">
        <v>-21213.09</v>
      </c>
      <c r="N13" s="4" t="n">
        <v>-23570.1</v>
      </c>
      <c r="O13" s="4" t="n">
        <v>-18856.08</v>
      </c>
      <c r="P13" s="4" t="n">
        <v>-21213.09</v>
      </c>
      <c r="Q13" s="4" t="n">
        <v>-23570.1</v>
      </c>
      <c r="R13" s="4" t="n">
        <v>-18856.08</v>
      </c>
      <c r="S13" s="4" t="n">
        <v>-21213.09</v>
      </c>
      <c r="T13" s="4" t="n">
        <v>-23570.1</v>
      </c>
      <c r="U13" s="4" t="n">
        <v>-18856.08</v>
      </c>
      <c r="V13" s="4" t="n">
        <v>-21213.09</v>
      </c>
      <c r="W13" s="4" t="n">
        <v>-23570.1</v>
      </c>
      <c r="X13" s="5" t="n">
        <f aca="false">SUM(B13:E13)</f>
        <v>-87209.37</v>
      </c>
      <c r="Y13" s="5" t="n">
        <f aca="false">SUM(F13:Q13)</f>
        <v>-254557.08</v>
      </c>
      <c r="Z13" s="5" t="n">
        <f aca="false">SUM(R13:W13)</f>
        <v>-127278.54</v>
      </c>
    </row>
    <row r="14" customFormat="false" ht="15" hidden="false" customHeight="false" outlineLevel="0" collapsed="false">
      <c r="A14" s="0" t="s">
        <v>56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-122814287.29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f aca="false">SUM(B14:E14)</f>
        <v>0</v>
      </c>
      <c r="Y14" s="5" t="n">
        <f aca="false">SUM(F14:Q14)</f>
        <v>-122814287.29</v>
      </c>
      <c r="Z14" s="5" t="n">
        <f aca="false">SUM(R14:W14)</f>
        <v>0</v>
      </c>
    </row>
    <row r="15" customFormat="false" ht="15" hidden="false" customHeight="false" outlineLevel="0" collapsed="false">
      <c r="A15" s="0" t="s">
        <v>57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122814287.29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f aca="false">SUM(B15:E15)</f>
        <v>0</v>
      </c>
      <c r="Y15" s="5" t="n">
        <f aca="false">SUM(F15:Q15)</f>
        <v>122814287.29</v>
      </c>
      <c r="Z15" s="5" t="n">
        <f aca="false">SUM(R15:W15)</f>
        <v>0</v>
      </c>
    </row>
    <row r="16" customFormat="false" ht="15" hidden="false" customHeight="false" outlineLevel="0" collapsed="false">
      <c r="A16" s="0" t="s">
        <v>58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12000000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f aca="false">SUM(B16:E16)</f>
        <v>0</v>
      </c>
      <c r="Y16" s="5" t="n">
        <f aca="false">SUM(F16:Q16)</f>
        <v>12000000</v>
      </c>
      <c r="Z16" s="5" t="n">
        <f aca="false">SUM(R16:W16)</f>
        <v>0</v>
      </c>
    </row>
    <row r="17" customFormat="false" ht="15" hidden="false" customHeight="false" outlineLevel="0" collapsed="false">
      <c r="A17" s="0" t="s">
        <v>59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-4000000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f aca="false">SUM(B17:E17)</f>
        <v>0</v>
      </c>
      <c r="Y17" s="5" t="n">
        <f aca="false">SUM(F17:Q17)</f>
        <v>-4000000</v>
      </c>
      <c r="Z17" s="5" t="n">
        <f aca="false">SUM(R17:W17)</f>
        <v>0</v>
      </c>
    </row>
    <row r="18" customFormat="false" ht="15" hidden="false" customHeight="false" outlineLevel="0" collapsed="false">
      <c r="A18" s="0" t="s">
        <v>41</v>
      </c>
      <c r="B18" s="4" t="n">
        <v>-247603.47</v>
      </c>
      <c r="C18" s="4" t="n">
        <v>-247108.26</v>
      </c>
      <c r="D18" s="4" t="n">
        <v>-246614.04</v>
      </c>
      <c r="E18" s="4" t="n">
        <v>-246120.82</v>
      </c>
      <c r="F18" s="4" t="n">
        <v>-245628.57</v>
      </c>
      <c r="G18" s="4" t="n">
        <v>-245137.32</v>
      </c>
      <c r="H18" s="4" t="n">
        <v>-244647.04</v>
      </c>
      <c r="I18" s="4" t="n">
        <v>-244157.75</v>
      </c>
      <c r="J18" s="4" t="n">
        <v>-243669.43</v>
      </c>
      <c r="K18" s="4" t="n">
        <v>-243182.09</v>
      </c>
      <c r="L18" s="4" t="n">
        <v>-242695.73</v>
      </c>
      <c r="M18" s="4" t="n">
        <v>-242210.34</v>
      </c>
      <c r="N18" s="4" t="n">
        <v>-241725.92</v>
      </c>
      <c r="O18" s="4" t="n">
        <v>-2412424.66</v>
      </c>
      <c r="P18" s="4" t="n">
        <v>-2364176.17</v>
      </c>
      <c r="Q18" s="4" t="n">
        <v>-2316892.65</v>
      </c>
      <c r="R18" s="4" t="n">
        <v>-2270554.79</v>
      </c>
      <c r="S18" s="4" t="n">
        <v>-2225143.7</v>
      </c>
      <c r="T18" s="4" t="n">
        <v>-2180640.82</v>
      </c>
      <c r="U18" s="4" t="n">
        <v>-2137028.01</v>
      </c>
      <c r="V18" s="4" t="n">
        <v>-2094287.45</v>
      </c>
      <c r="W18" s="4" t="n">
        <v>-2052401.7</v>
      </c>
      <c r="X18" s="5" t="n">
        <f aca="false">SUM(B18:E18)</f>
        <v>-987446.59</v>
      </c>
      <c r="Y18" s="5" t="n">
        <f aca="false">SUM(F18:Q18)</f>
        <v>-9286547.67</v>
      </c>
      <c r="Z18" s="5" t="n">
        <f aca="false">SUM(R18:W18)</f>
        <v>-12960056.47</v>
      </c>
    </row>
    <row r="19" customFormat="false" ht="15" hidden="false" customHeight="false" outlineLevel="0" collapsed="false">
      <c r="A19" s="2" t="s">
        <v>60</v>
      </c>
      <c r="B19" s="5" t="n">
        <f aca="false">SUM(B7:B18)</f>
        <v>8869981.82</v>
      </c>
      <c r="C19" s="5" t="n">
        <f aca="false">SUM(C7:C18)</f>
        <v>9440990.12</v>
      </c>
      <c r="D19" s="5" t="n">
        <f aca="false">SUM(D7:D18)</f>
        <v>9588281.99</v>
      </c>
      <c r="E19" s="5" t="n">
        <f aca="false">SUM(E7:E18)</f>
        <v>11902593.34</v>
      </c>
      <c r="F19" s="5" t="n">
        <f aca="false">SUM(F7:F18)</f>
        <v>18843648.31</v>
      </c>
      <c r="G19" s="5" t="n">
        <f aca="false">SUM(G7:G18)</f>
        <v>19089598.34</v>
      </c>
      <c r="H19" s="5" t="n">
        <f aca="false">SUM(H7:H18)</f>
        <v>19479483.29</v>
      </c>
      <c r="I19" s="5" t="n">
        <f aca="false">SUM(I7:I18)</f>
        <v>19868595.12</v>
      </c>
      <c r="J19" s="5" t="n">
        <f aca="false">SUM(J7:J18)</f>
        <v>19830995.67</v>
      </c>
      <c r="K19" s="5" t="n">
        <f aca="false">SUM(K7:K18)</f>
        <v>19072755.72</v>
      </c>
      <c r="L19" s="5" t="n">
        <f aca="false">SUM(L7:L18)</f>
        <v>19809761.14</v>
      </c>
      <c r="M19" s="5" t="n">
        <f aca="false">SUM(M7:M18)</f>
        <v>20960406.34</v>
      </c>
      <c r="N19" s="5" t="n">
        <f aca="false">SUM(N7:N18)</f>
        <v>21547627.6</v>
      </c>
      <c r="O19" s="5" t="n">
        <f aca="false">SUM(O7:O18)</f>
        <v>19014389.66</v>
      </c>
      <c r="P19" s="5" t="n">
        <f aca="false">SUM(P7:P18)</f>
        <v>16246988.43</v>
      </c>
      <c r="Q19" s="5" t="n">
        <f aca="false">SUM(Q7:Q18)</f>
        <v>17597496.57</v>
      </c>
      <c r="R19" s="5" t="n">
        <f aca="false">SUM(R7:R18)</f>
        <v>16470643.92</v>
      </c>
      <c r="S19" s="5" t="n">
        <f aca="false">SUM(S7:S18)</f>
        <v>14979785.54</v>
      </c>
      <c r="T19" s="5" t="n">
        <f aca="false">SUM(T7:T18)</f>
        <v>13295255.49</v>
      </c>
      <c r="U19" s="5" t="n">
        <f aca="false">SUM(U7:U18)</f>
        <v>12377153.2</v>
      </c>
      <c r="V19" s="5" t="n">
        <f aca="false">SUM(V7:V18)</f>
        <v>11304193.71</v>
      </c>
      <c r="W19" s="5" t="n">
        <f aca="false">SUM(W7:W18)</f>
        <v>9693438.63</v>
      </c>
      <c r="X19" s="5" t="n">
        <f aca="false">E19</f>
        <v>11902593.34</v>
      </c>
      <c r="Y19" s="5" t="n">
        <f aca="false">Q19</f>
        <v>17597496.57</v>
      </c>
      <c r="Z19" s="5" t="n">
        <f aca="false">W19</f>
        <v>9693438.63</v>
      </c>
    </row>
    <row r="21" customFormat="false" ht="15" hidden="false" customHeight="false" outlineLevel="0" collapsed="false">
      <c r="A21" s="2" t="s">
        <v>61</v>
      </c>
      <c r="B21" s="5" t="n">
        <f aca="false">B8+B9+B11+B12+B13</f>
        <v>948057.88</v>
      </c>
      <c r="C21" s="5" t="n">
        <f aca="false">C8+C9+C11+C12+C13</f>
        <v>1073914.23</v>
      </c>
      <c r="D21" s="5" t="n">
        <f aca="false">D8+D9+D11+D12+D13</f>
        <v>656621.730000001</v>
      </c>
      <c r="E21" s="5" t="n">
        <f aca="false">E8+E9+E11+E12+E13</f>
        <v>2789188.65</v>
      </c>
      <c r="F21" s="5" t="n">
        <f aca="false">F8+F9+F11+F12+F13</f>
        <v>-569390.12</v>
      </c>
      <c r="G21" s="5" t="n">
        <f aca="false">G8+G9+G11+G12+G13</f>
        <v>736994.47</v>
      </c>
      <c r="H21" s="5" t="n">
        <f aca="false">H8+H9+H11+H12+H13</f>
        <v>882824.46</v>
      </c>
      <c r="I21" s="5" t="n">
        <f aca="false">I8+I9+I11+I12+I13</f>
        <v>883329.44</v>
      </c>
      <c r="J21" s="5" t="n">
        <f aca="false">J8+J9+J11+J12+J13</f>
        <v>462026.41</v>
      </c>
      <c r="K21" s="5" t="n">
        <f aca="false">K8+K9+K11+K12+K13</f>
        <v>-243178.05</v>
      </c>
      <c r="L21" s="5" t="n">
        <f aca="false">L8+L9+L11+L12+L13</f>
        <v>1248882.42</v>
      </c>
      <c r="M21" s="5" t="n">
        <f aca="false">M8+M9+M11+M12+M13</f>
        <v>1655970.51</v>
      </c>
      <c r="N21" s="5" t="n">
        <f aca="false">N8+N9+N11+N12+N13</f>
        <v>1094091.03</v>
      </c>
      <c r="O21" s="5" t="n">
        <f aca="false">O8+O9+O11+O12+O13</f>
        <v>158770.25</v>
      </c>
      <c r="P21" s="5" t="n">
        <f aca="false">P8+P9+P11+P12+P13</f>
        <v>-104164.47</v>
      </c>
      <c r="Q21" s="5" t="n">
        <f aca="false">Q8+Q9+Q11+Q12+Q13</f>
        <v>3926496.74</v>
      </c>
      <c r="R21" s="5" t="n">
        <f aca="false">R8+R9+R11+R12+R13</f>
        <v>1404023.1</v>
      </c>
      <c r="S21" s="5" t="n">
        <f aca="false">S8+S9+S11+S12+S13</f>
        <v>998580.7</v>
      </c>
      <c r="T21" s="5" t="n">
        <f aca="false">T8+T9+T11+T12+T13</f>
        <v>770706.8</v>
      </c>
      <c r="U21" s="5" t="n">
        <f aca="false">U8+U9+U11+U12+U13</f>
        <v>1497307.27</v>
      </c>
      <c r="V21" s="5" t="n">
        <f aca="false">V8+V9+V11+V12+V13</f>
        <v>1303642.75</v>
      </c>
      <c r="W21" s="5" t="n">
        <f aca="false">W8+W9+W11+W12+W13</f>
        <v>734796.12</v>
      </c>
      <c r="X21" s="5" t="n">
        <f aca="false">SUM(B21:E21)</f>
        <v>5467782.49</v>
      </c>
      <c r="Y21" s="5" t="n">
        <f aca="false">SUM(F21:Q21)</f>
        <v>10132653.09</v>
      </c>
      <c r="Z21" s="5" t="n">
        <f aca="false">SUM(R21:W21)</f>
        <v>6709056.74</v>
      </c>
    </row>
    <row r="22" customFormat="false" ht="15" hidden="false" customHeight="false" outlineLevel="0" collapsed="false">
      <c r="A22" s="2" t="s">
        <v>62</v>
      </c>
      <c r="B22" s="5" t="n">
        <f aca="false">B14+B15+B16+B17+B18</f>
        <v>-247603.47</v>
      </c>
      <c r="C22" s="5" t="n">
        <f aca="false">C14+C15+C16+C17+C18</f>
        <v>-247108.26</v>
      </c>
      <c r="D22" s="5" t="n">
        <f aca="false">D14+D15+D16+D17+D18</f>
        <v>-246614.04</v>
      </c>
      <c r="E22" s="5" t="n">
        <f aca="false">E14+E15+E16+E17+E18</f>
        <v>-246120.82</v>
      </c>
      <c r="F22" s="5" t="n">
        <f aca="false">F14+F15+F16+F17+F18</f>
        <v>7754371.43</v>
      </c>
      <c r="G22" s="5" t="n">
        <f aca="false">G14+G15+G16+G17+G18</f>
        <v>-245137.32</v>
      </c>
      <c r="H22" s="5" t="n">
        <f aca="false">H14+H15+H16+H17+H18</f>
        <v>-244647.04</v>
      </c>
      <c r="I22" s="5" t="n">
        <f aca="false">I14+I15+I16+I17+I18</f>
        <v>-244157.75</v>
      </c>
      <c r="J22" s="5" t="n">
        <f aca="false">J14+J15+J16+J17+J18</f>
        <v>-243669.43</v>
      </c>
      <c r="K22" s="5" t="n">
        <f aca="false">K14+K15+K16+K17+K18</f>
        <v>-243182.09</v>
      </c>
      <c r="L22" s="5" t="n">
        <f aca="false">L14+L15+L16+L17+L18</f>
        <v>-242695.73</v>
      </c>
      <c r="M22" s="5" t="n">
        <f aca="false">M14+M15+M16+M17+M18</f>
        <v>-242210.34</v>
      </c>
      <c r="N22" s="5" t="n">
        <f aca="false">N14+N15+N16+N17+N18</f>
        <v>-241725.92</v>
      </c>
      <c r="O22" s="5" t="n">
        <f aca="false">O14+O15+O16+O17+O18</f>
        <v>-2412424.66</v>
      </c>
      <c r="P22" s="5" t="n">
        <f aca="false">P14+P15+P16+P17+P18</f>
        <v>-2364176.17</v>
      </c>
      <c r="Q22" s="5" t="n">
        <f aca="false">Q14+Q15+Q16+Q17+Q18</f>
        <v>-2316892.65</v>
      </c>
      <c r="R22" s="5" t="n">
        <f aca="false">R14+R15+R16+R17+R18</f>
        <v>-2270554.79</v>
      </c>
      <c r="S22" s="5" t="n">
        <f aca="false">S14+S15+S16+S17+S18</f>
        <v>-2225143.7</v>
      </c>
      <c r="T22" s="5" t="n">
        <f aca="false">T14+T15+T16+T17+T18</f>
        <v>-2180640.82</v>
      </c>
      <c r="U22" s="5" t="n">
        <f aca="false">U14+U15+U16+U17+U18</f>
        <v>-2137028.01</v>
      </c>
      <c r="V22" s="5" t="n">
        <f aca="false">V14+V15+V16+V17+V18</f>
        <v>-2094287.45</v>
      </c>
      <c r="W22" s="5" t="n">
        <f aca="false">W14+W15+W16+W17+W18</f>
        <v>-2052401.7</v>
      </c>
      <c r="X22" s="5" t="n">
        <f aca="false">SUM(B22:E22)</f>
        <v>-987446.59</v>
      </c>
      <c r="Y22" s="5" t="n">
        <f aca="false">SUM(F22:Q22)</f>
        <v>-1286547.67</v>
      </c>
      <c r="Z22" s="5" t="n">
        <f aca="false">SUM(R22:W22)</f>
        <v>-12960056.47</v>
      </c>
    </row>
    <row r="24" customFormat="false" ht="15" hidden="false" customHeight="false" outlineLevel="0" collapsed="false">
      <c r="A24" s="0" t="s">
        <v>63</v>
      </c>
      <c r="B24" s="5" t="n">
        <f aca="false">B21+B10+B22</f>
        <v>448344.41</v>
      </c>
      <c r="C24" s="5" t="n">
        <f aca="false">C21+C10+C22</f>
        <v>571008.3</v>
      </c>
      <c r="D24" s="5" t="n">
        <f aca="false">D21+D10+D22</f>
        <v>147291.870000001</v>
      </c>
      <c r="E24" s="5" t="n">
        <f aca="false">E21+E10+E22</f>
        <v>2314311.35</v>
      </c>
      <c r="F24" s="5" t="n">
        <f aca="false">F21+F10+F22</f>
        <v>6941054.97</v>
      </c>
      <c r="G24" s="5" t="n">
        <f aca="false">G21+G10+G22</f>
        <v>245950.03</v>
      </c>
      <c r="H24" s="5" t="n">
        <f aca="false">H21+H10+H22</f>
        <v>389884.95</v>
      </c>
      <c r="I24" s="5" t="n">
        <f aca="false">I21+I10+I22</f>
        <v>389111.83</v>
      </c>
      <c r="J24" s="5" t="n">
        <f aca="false">J21+J10+J22</f>
        <v>-37599.45</v>
      </c>
      <c r="K24" s="5" t="n">
        <f aca="false">K21+K10+K22</f>
        <v>-758239.95</v>
      </c>
      <c r="L24" s="5" t="n">
        <f aca="false">L21+L10+L22</f>
        <v>737005.42</v>
      </c>
      <c r="M24" s="5" t="n">
        <f aca="false">M21+M10+M22</f>
        <v>1150645.2</v>
      </c>
      <c r="N24" s="5" t="n">
        <f aca="false">N21+N10+N22</f>
        <v>587221.26</v>
      </c>
      <c r="O24" s="5" t="n">
        <f aca="false">O21+O10+O22</f>
        <v>-2533237.94</v>
      </c>
      <c r="P24" s="5" t="n">
        <f aca="false">P21+P10+P22</f>
        <v>-2767401.23</v>
      </c>
      <c r="Q24" s="5" t="n">
        <f aca="false">Q21+Q10+Q22</f>
        <v>1350508.14</v>
      </c>
      <c r="R24" s="5" t="n">
        <f aca="false">R21+R10+R22</f>
        <v>-1126852.65</v>
      </c>
      <c r="S24" s="5" t="n">
        <f aca="false">S21+S10+S22</f>
        <v>-1490858.38</v>
      </c>
      <c r="T24" s="5" t="n">
        <f aca="false">T21+T10+T22</f>
        <v>-1684530.05</v>
      </c>
      <c r="U24" s="5" t="n">
        <f aca="false">U21+U10+U22</f>
        <v>-918102.29</v>
      </c>
      <c r="V24" s="5" t="n">
        <f aca="false">V21+V10+V22</f>
        <v>-1072959.49</v>
      </c>
      <c r="W24" s="5" t="n">
        <f aca="false">W21+W10+W22</f>
        <v>-1610755.08</v>
      </c>
      <c r="X24" s="5" t="n">
        <f aca="false">SUM(B24:E24)</f>
        <v>3480955.93</v>
      </c>
      <c r="Y24" s="5" t="n">
        <f aca="false">SUM(F24:Q24)</f>
        <v>5694903.23</v>
      </c>
      <c r="Z24" s="5" t="n">
        <f aca="false">SUM(R24:W24)</f>
        <v>-7904057.94</v>
      </c>
    </row>
    <row r="25" customFormat="false" ht="15" hidden="false" customHeight="false" outlineLevel="0" collapsed="false">
      <c r="A25" s="0" t="s">
        <v>64</v>
      </c>
      <c r="B25" s="5" t="n">
        <f aca="false">B19-B7</f>
        <v>448344.41</v>
      </c>
      <c r="C25" s="5" t="n">
        <f aca="false">C19-C7</f>
        <v>571008.300000001</v>
      </c>
      <c r="D25" s="5" t="n">
        <f aca="false">D19-D7</f>
        <v>147291.870000001</v>
      </c>
      <c r="E25" s="5" t="n">
        <f aca="false">E19-E7</f>
        <v>2314311.35</v>
      </c>
      <c r="F25" s="5" t="n">
        <f aca="false">F19-F7</f>
        <v>6941054.97</v>
      </c>
      <c r="G25" s="5" t="n">
        <f aca="false">G19-G7</f>
        <v>245950.030000001</v>
      </c>
      <c r="H25" s="5" t="n">
        <f aca="false">H19-H7</f>
        <v>389884.949999999</v>
      </c>
      <c r="I25" s="5" t="n">
        <f aca="false">I19-I7</f>
        <v>389111.829999998</v>
      </c>
      <c r="J25" s="5" t="n">
        <f aca="false">J19-J7</f>
        <v>-37599.4499999993</v>
      </c>
      <c r="K25" s="5" t="n">
        <f aca="false">K19-K7</f>
        <v>-758239.949999999</v>
      </c>
      <c r="L25" s="5" t="n">
        <f aca="false">L19-L7</f>
        <v>737005.420000002</v>
      </c>
      <c r="M25" s="5" t="n">
        <f aca="false">M19-M7</f>
        <v>1150645.2</v>
      </c>
      <c r="N25" s="5" t="n">
        <f aca="false">N19-N7</f>
        <v>587221.260000002</v>
      </c>
      <c r="O25" s="5" t="n">
        <f aca="false">O19-O7</f>
        <v>-2533237.94</v>
      </c>
      <c r="P25" s="5" t="n">
        <f aca="false">P19-P7</f>
        <v>-2767401.23</v>
      </c>
      <c r="Q25" s="5" t="n">
        <f aca="false">Q19-Q7</f>
        <v>1350508.14</v>
      </c>
      <c r="R25" s="5" t="n">
        <f aca="false">R19-R7</f>
        <v>-1126852.65</v>
      </c>
      <c r="S25" s="5" t="n">
        <f aca="false">S19-S7</f>
        <v>-1490858.38</v>
      </c>
      <c r="T25" s="5" t="n">
        <f aca="false">T19-T7</f>
        <v>-1684530.05</v>
      </c>
      <c r="U25" s="5" t="n">
        <f aca="false">U19-U7</f>
        <v>-918102.289999999</v>
      </c>
      <c r="V25" s="5" t="n">
        <f aca="false">V19-V7</f>
        <v>-1072959.49</v>
      </c>
      <c r="W25" s="5" t="n">
        <f aca="false">W19-W7</f>
        <v>-1610755.08</v>
      </c>
      <c r="X25" s="5" t="n">
        <f aca="false">SUM(B25:E25)</f>
        <v>3480955.93</v>
      </c>
      <c r="Y25" s="5" t="n">
        <f aca="false">SUM(F25:Q25)</f>
        <v>5694903.23</v>
      </c>
      <c r="Z25" s="5" t="n">
        <f aca="false">SUM(R25:W25)</f>
        <v>-7904057.94</v>
      </c>
    </row>
    <row r="26" customFormat="false" ht="15" hidden="false" customHeight="false" outlineLevel="0" collapsed="false">
      <c r="A26" s="0" t="s">
        <v>65</v>
      </c>
      <c r="B26" s="5" t="n">
        <f aca="false">B24-B25</f>
        <v>0</v>
      </c>
      <c r="C26" s="5" t="n">
        <f aca="false">C24-C25</f>
        <v>0</v>
      </c>
      <c r="D26" s="5" t="n">
        <f aca="false">D24-D25</f>
        <v>0</v>
      </c>
      <c r="E26" s="5" t="n">
        <f aca="false">E24-E25</f>
        <v>0</v>
      </c>
      <c r="F26" s="5" t="n">
        <f aca="false">F24-F25</f>
        <v>0</v>
      </c>
      <c r="G26" s="5" t="n">
        <f aca="false">G24-G25</f>
        <v>-1.45519152283669E-009</v>
      </c>
      <c r="H26" s="5" t="n">
        <f aca="false">H24-H25</f>
        <v>0</v>
      </c>
      <c r="I26" s="5" t="n">
        <f aca="false">I24-I25</f>
        <v>1.86264514923096E-009</v>
      </c>
      <c r="J26" s="5" t="n">
        <f aca="false">J24-J25</f>
        <v>-7.56699591875076E-010</v>
      </c>
      <c r="K26" s="5" t="n">
        <f aca="false">K24-K25</f>
        <v>0</v>
      </c>
      <c r="L26" s="5" t="n">
        <f aca="false">L24-L25</f>
        <v>0</v>
      </c>
      <c r="M26" s="5" t="n">
        <f aca="false">M24-M25</f>
        <v>0</v>
      </c>
      <c r="N26" s="5" t="n">
        <f aca="false">N24-N25</f>
        <v>0</v>
      </c>
      <c r="O26" s="5" t="n">
        <f aca="false">O24-O25</f>
        <v>0</v>
      </c>
      <c r="P26" s="5" t="n">
        <f aca="false">P24-P25</f>
        <v>0</v>
      </c>
      <c r="Q26" s="5" t="n">
        <f aca="false">Q24-Q25</f>
        <v>0</v>
      </c>
      <c r="R26" s="5" t="n">
        <f aca="false">R24-R25</f>
        <v>0</v>
      </c>
      <c r="S26" s="5" t="n">
        <f aca="false">S24-S25</f>
        <v>0</v>
      </c>
      <c r="T26" s="5" t="n">
        <f aca="false">T24-T25</f>
        <v>0</v>
      </c>
      <c r="U26" s="5" t="n">
        <f aca="false">U24-U25</f>
        <v>0</v>
      </c>
      <c r="V26" s="5" t="n">
        <f aca="false">V24-V25</f>
        <v>0</v>
      </c>
      <c r="W26" s="5" t="n">
        <f aca="false">W24-W25</f>
        <v>0</v>
      </c>
      <c r="X26" s="5" t="n">
        <f aca="false">SUM(B26:E26)</f>
        <v>0</v>
      </c>
      <c r="Y26" s="5" t="n">
        <f aca="false">SUM(F26:Q26)</f>
        <v>-3.49245965480804E-010</v>
      </c>
      <c r="Z26" s="5" t="n">
        <f aca="false">SUM(R26:W26)</f>
        <v>0</v>
      </c>
    </row>
    <row r="28" customFormat="false" ht="15" hidden="false" customHeight="false" outlineLevel="0" collapsed="false">
      <c r="A28" s="0" t="s">
        <v>66</v>
      </c>
      <c r="B28" s="5" t="n">
        <f aca="false">'Income Statement'!B8</f>
        <v>2199513.6</v>
      </c>
      <c r="C28" s="5" t="n">
        <f aca="false">'Income Statement'!C8</f>
        <v>2301954.6</v>
      </c>
      <c r="D28" s="5" t="n">
        <f aca="false">'Income Statement'!D8</f>
        <v>2318831.93</v>
      </c>
      <c r="E28" s="5" t="n">
        <f aca="false">'Income Statement'!E8</f>
        <v>1660921.81</v>
      </c>
      <c r="F28" s="5" t="n">
        <f aca="false">'Income Statement'!F8</f>
        <v>1940600.6</v>
      </c>
      <c r="G28" s="5" t="n">
        <f aca="false">'Income Statement'!G8</f>
        <v>1912990.98</v>
      </c>
      <c r="H28" s="5" t="n">
        <f aca="false">'Income Statement'!H8</f>
        <v>2011459.59</v>
      </c>
      <c r="I28" s="5" t="n">
        <f aca="false">'Income Statement'!I8</f>
        <v>2055899.04</v>
      </c>
      <c r="J28" s="5" t="n">
        <f aca="false">'Income Statement'!J8</f>
        <v>2060893.15</v>
      </c>
      <c r="K28" s="5" t="n">
        <f aca="false">'Income Statement'!K8</f>
        <v>2392917.02</v>
      </c>
      <c r="L28" s="5" t="n">
        <f aca="false">'Income Statement'!L8</f>
        <v>2382133.98</v>
      </c>
      <c r="M28" s="5" t="n">
        <f aca="false">'Income Statement'!M8</f>
        <v>2492072.87</v>
      </c>
      <c r="N28" s="5" t="n">
        <f aca="false">'Income Statement'!N8</f>
        <v>2305563.35</v>
      </c>
      <c r="O28" s="5" t="n">
        <f aca="false">'Income Statement'!O8</f>
        <v>2495150.93</v>
      </c>
      <c r="P28" s="5" t="n">
        <f aca="false">'Income Statement'!P8</f>
        <v>2835136.13</v>
      </c>
      <c r="Q28" s="5" t="n">
        <f aca="false">'Income Statement'!Q8</f>
        <v>2248759.57</v>
      </c>
      <c r="R28" s="5" t="n">
        <f aca="false">'Income Statement'!R8</f>
        <v>2332371.67</v>
      </c>
      <c r="S28" s="5" t="n">
        <f aca="false">'Income Statement'!S8</f>
        <v>2306219.07</v>
      </c>
      <c r="T28" s="5" t="n">
        <f aca="false">'Income Statement'!T8</f>
        <v>2618535.91</v>
      </c>
      <c r="U28" s="5" t="n">
        <f aca="false">'Income Statement'!U8</f>
        <v>2763848.1</v>
      </c>
      <c r="V28" s="5" t="n">
        <f aca="false">'Income Statement'!V8</f>
        <v>2588973.9</v>
      </c>
      <c r="W28" s="5" t="n">
        <f aca="false">'Income Statement'!W8</f>
        <v>2696995.08</v>
      </c>
      <c r="X28" s="5" t="n">
        <f aca="false">SUM(B28:E28)</f>
        <v>8481221.94</v>
      </c>
      <c r="Y28" s="5" t="n">
        <f aca="false">SUM(F28:Q28)</f>
        <v>27133577.21</v>
      </c>
      <c r="Z28" s="5" t="n">
        <f aca="false">SUM(R28:W28)</f>
        <v>15306943.73</v>
      </c>
    </row>
    <row r="29" customFormat="false" ht="15" hidden="false" customHeight="false" outlineLevel="0" collapsed="false">
      <c r="A29" s="0" t="s">
        <v>67</v>
      </c>
      <c r="B29" s="5" t="n">
        <f aca="false">B8-B28</f>
        <v>0</v>
      </c>
      <c r="C29" s="5" t="n">
        <f aca="false">C8-C28</f>
        <v>0</v>
      </c>
      <c r="D29" s="5" t="n">
        <f aca="false">D8-D28</f>
        <v>0</v>
      </c>
      <c r="E29" s="5" t="n">
        <f aca="false">E8-E28</f>
        <v>0</v>
      </c>
      <c r="F29" s="5" t="n">
        <f aca="false">F8-F28</f>
        <v>0</v>
      </c>
      <c r="G29" s="5" t="n">
        <f aca="false">G8-G28</f>
        <v>0</v>
      </c>
      <c r="H29" s="5" t="n">
        <f aca="false">H8-H28</f>
        <v>0</v>
      </c>
      <c r="I29" s="5" t="n">
        <f aca="false">I8-I28</f>
        <v>0</v>
      </c>
      <c r="J29" s="5" t="n">
        <f aca="false">J8-J28</f>
        <v>0</v>
      </c>
      <c r="K29" s="5" t="n">
        <f aca="false">K8-K28</f>
        <v>0</v>
      </c>
      <c r="L29" s="5" t="n">
        <f aca="false">L8-L28</f>
        <v>0</v>
      </c>
      <c r="M29" s="5" t="n">
        <f aca="false">M8-M28</f>
        <v>0</v>
      </c>
      <c r="N29" s="5" t="n">
        <f aca="false">N8-N28</f>
        <v>0</v>
      </c>
      <c r="O29" s="5" t="n">
        <f aca="false">O8-O28</f>
        <v>0</v>
      </c>
      <c r="P29" s="5" t="n">
        <f aca="false">P8-P28</f>
        <v>0</v>
      </c>
      <c r="Q29" s="5" t="n">
        <f aca="false">Q8-Q28</f>
        <v>0</v>
      </c>
      <c r="R29" s="5" t="n">
        <f aca="false">R8-R28</f>
        <v>0</v>
      </c>
      <c r="S29" s="5" t="n">
        <f aca="false">S8-S28</f>
        <v>0</v>
      </c>
      <c r="T29" s="5" t="n">
        <f aca="false">T8-T28</f>
        <v>0</v>
      </c>
      <c r="U29" s="5" t="n">
        <f aca="false">U8-U28</f>
        <v>0</v>
      </c>
      <c r="V29" s="5" t="n">
        <f aca="false">V8-V28</f>
        <v>0</v>
      </c>
      <c r="W29" s="5" t="n">
        <f aca="false">W8-W28</f>
        <v>0</v>
      </c>
      <c r="X29" s="5" t="n">
        <f aca="false">SUM(B29:E29)</f>
        <v>0</v>
      </c>
      <c r="Y29" s="5" t="n">
        <f aca="false">SUM(F29:Q29)</f>
        <v>0</v>
      </c>
      <c r="Z29" s="5" t="n">
        <f aca="false">SUM(R29:W29)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0"/>
  </cols>
  <sheetData>
    <row r="1" customFormat="false" ht="45" hidden="false" customHeight="true" outlineLevel="0" collapsed="false">
      <c r="A1" s="2" t="s">
        <v>68</v>
      </c>
      <c r="B1" s="8" t="s">
        <v>69</v>
      </c>
    </row>
    <row r="2" customFormat="false" ht="60" hidden="false" customHeight="true" outlineLevel="0" collapsed="false">
      <c r="A2" s="2" t="s">
        <v>70</v>
      </c>
      <c r="B2" s="8" t="s">
        <v>71</v>
      </c>
    </row>
    <row r="3" customFormat="false" ht="30" hidden="false" customHeight="true" outlineLevel="0" collapsed="false">
      <c r="A3" s="2" t="s">
        <v>72</v>
      </c>
      <c r="B3" s="8" t="s">
        <v>73</v>
      </c>
    </row>
    <row r="4" customFormat="false" ht="45" hidden="false" customHeight="true" outlineLevel="0" collapsed="false">
      <c r="A4" s="2" t="s">
        <v>74</v>
      </c>
      <c r="B4" s="8" t="s">
        <v>75</v>
      </c>
    </row>
    <row r="5" customFormat="false" ht="90" hidden="false" customHeight="true" outlineLevel="0" collapsed="false">
      <c r="A5" s="2" t="s">
        <v>76</v>
      </c>
      <c r="B5" s="8" t="s">
        <v>77</v>
      </c>
    </row>
    <row r="6" customFormat="false" ht="90" hidden="false" customHeight="true" outlineLevel="0" collapsed="false">
      <c r="A6" s="2" t="s">
        <v>78</v>
      </c>
      <c r="B6" s="8" t="s">
        <v>79</v>
      </c>
    </row>
    <row r="7" customFormat="false" ht="195" hidden="false" customHeight="true" outlineLevel="0" collapsed="false">
      <c r="A7" s="2" t="s">
        <v>80</v>
      </c>
      <c r="B7" s="8" t="s">
        <v>81</v>
      </c>
    </row>
    <row r="8" customFormat="false" ht="90" hidden="false" customHeight="true" outlineLevel="0" collapsed="false">
      <c r="A8" s="2" t="s">
        <v>82</v>
      </c>
      <c r="B8" s="8" t="s">
        <v>83</v>
      </c>
    </row>
    <row r="9" customFormat="false" ht="120" hidden="false" customHeight="true" outlineLevel="0" collapsed="false">
      <c r="A9" s="2" t="s">
        <v>84</v>
      </c>
      <c r="B9" s="8" t="s">
        <v>85</v>
      </c>
    </row>
    <row r="10" customFormat="false" ht="75" hidden="false" customHeight="true" outlineLevel="0" collapsed="false">
      <c r="A10" s="2" t="s">
        <v>86</v>
      </c>
      <c r="B10" s="8" t="s">
        <v>87</v>
      </c>
    </row>
    <row r="11" customFormat="false" ht="60" hidden="false" customHeight="true" outlineLevel="0" collapsed="false">
      <c r="A11" s="2" t="s">
        <v>88</v>
      </c>
      <c r="B11" s="8" t="s">
        <v>89</v>
      </c>
    </row>
    <row r="12" customFormat="false" ht="165" hidden="false" customHeight="true" outlineLevel="0" collapsed="false">
      <c r="A12" s="2" t="s">
        <v>90</v>
      </c>
      <c r="B12" s="8" t="s">
        <v>91</v>
      </c>
    </row>
    <row r="13" customFormat="false" ht="135" hidden="false" customHeight="true" outlineLevel="0" collapsed="false">
      <c r="A13" s="2" t="s">
        <v>92</v>
      </c>
      <c r="B13" s="8" t="s">
        <v>93</v>
      </c>
    </row>
    <row r="14" customFormat="false" ht="285" hidden="false" customHeight="true" outlineLevel="0" collapsed="false">
      <c r="A14" s="2" t="s">
        <v>94</v>
      </c>
      <c r="B14" s="8" t="s">
        <v>95</v>
      </c>
    </row>
    <row r="15" customFormat="false" ht="135" hidden="false" customHeight="true" outlineLevel="0" collapsed="false">
      <c r="A15" s="2" t="s">
        <v>96</v>
      </c>
      <c r="B15" s="8" t="s">
        <v>97</v>
      </c>
    </row>
    <row r="16" customFormat="false" ht="165" hidden="false" customHeight="true" outlineLevel="0" collapsed="false">
      <c r="A16" s="2" t="s">
        <v>98</v>
      </c>
      <c r="B16" s="8" t="s">
        <v>99</v>
      </c>
    </row>
    <row r="17" customFormat="false" ht="45" hidden="false" customHeight="true" outlineLevel="0" collapsed="false">
      <c r="A17" s="2" t="s">
        <v>100</v>
      </c>
      <c r="B17" s="8" t="s">
        <v>101</v>
      </c>
    </row>
    <row r="18" customFormat="false" ht="75" hidden="false" customHeight="true" outlineLevel="0" collapsed="false">
      <c r="A18" s="2" t="s">
        <v>102</v>
      </c>
      <c r="B18" s="8" t="s">
        <v>103</v>
      </c>
    </row>
    <row r="19" customFormat="false" ht="45" hidden="false" customHeight="true" outlineLevel="0" collapsed="false">
      <c r="A19" s="2" t="s">
        <v>104</v>
      </c>
      <c r="B19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2026-09-15T10:54:12Z</dcterms:created>
  <dc:creator>openpyxl</dc:creator>
  <dc:description/>
  <dc:language>en-US</dc:language>
  <cp:lastModifiedBy/>
  <dcterms:modified xsi:type="dcterms:W3CDTF">2026-09-15T10:54:13Z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
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come Statement" sheetId="1" state="visible" r:id="rId3"/>
    <sheet name="Balance Sheet" sheetId="2" state="visible" r:id="rId4"/>
    <sheet name="Cash Flow Statement" sheetId="3" state="visible" r:id="rId5"/>
    <sheet name="Sources &amp;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<sst xmlns="http://schemas.openxmlformats.org/spreadsheetml/2006/main" count="188" uniqueCount="134">
  <si>
    <t xml:space="preserve">Talvorn Technical Services, LLC | Detailed Income Statement</t>
  </si>
  <si>
    <t xml:space="preserve">Authoritative consolidated actuals | USD (whole dollars) | Unaudited | Source: borrower Monthly Financial Package, Income Statement + sales-by-channel.xlsx + department-actuals.xlsx tabs</t>
  </si>
  <si>
    <t xml:space="preserve">Account</t>
  </si>
  <si>
    <t xml:space="preserve">Sep 2024</t>
  </si>
  <si>
    <t xml:space="preserve">Oct 2024</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</si>
  <si>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</si>
  <si>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</si>
  <si>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</si>
  <si>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</si>
  <si>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</si>
  <si>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</si>
  <si>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</si>
  <si>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</si>
  <si>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</si>
  <si>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</si>
  <si>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</si>
  <si>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</si>
  <si>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Nov 2025</t>
  </si>
  <si>
    <t xml:space="preserve">Dec 2025</t>
  </si>
  <si>
    <t xml:space="preserve">Jan 2026</t>
  </si>
  <si>
    <t xml:space="preserve">Feb 2026</t>
  </si>
  <si>
    <t xml:space="preserve">Mar 2026</t>
  </si>
  <si>
    <t xml:space="preserve">Apr 2026</t>
  </si>
  <si>
    <t xml:space="preserve">May 2026</t>
  </si>
  <si>
    <t xml:space="preserve">Jun 2026</t>
  </si>
  <si>
    <t xml:space="preserve">FY2024 (Sep-Dec, partial)</t>
  </si>
  <si>
    <t xml:space="preserve">FY2025</t>
  </si>
  <si>
    <t xml:space="preserve">2026 YTD (Jan-Jun)</t>
  </si>
  <si>
    <t xml:space="preserve">NET REVENUE</t>
  </si>
  <si>
    <t xml:space="preserve">Technical Field Service</t>
  </si>
  <si>
    <t xml:space="preserve">Maintenance Programs</t>
  </si>
  <si>
    <t xml:space="preserve">Equipment Solutions</t>
  </si>
  <si>
    <t xml:space="preserve">Engineering Support</t>
  </si>
  <si>
    <t xml:space="preserve">Net Revenue</t>
  </si>
  <si>
    <t xml:space="preserve">Cost of Revenue</t>
  </si>
  <si>
    <t xml:space="preserve">Gross Profit</t>
  </si>
  <si>
    <t xml:space="preserve">OPERATING EXPENSES</t>
  </si>
  <si>
    <t xml:space="preserve">Growth and Bid Support</t>
  </si>
  <si>
    <t xml:space="preserve">Branch Overhead</t>
  </si>
  <si>
    <t xml:space="preserve">Product Engineering</t>
  </si>
  <si>
    <t xml:space="preserve">General and Administrative</t>
  </si>
  <si>
    <t xml:space="preserve">Operating Expenses</t>
  </si>
  <si>
    <t xml:space="preserve">Reported EBITDA</t>
  </si>
  <si>
    <t xml:space="preserve">Depreciation and Amortization</t>
  </si>
  <si>
    <t xml:space="preserve">Operating Income</t>
  </si>
  <si>
    <t xml:space="preserve">Interest Expense</t>
  </si>
  <si>
    <t xml:space="preserve">Income Before Taxes</t>
  </si>
  <si>
    <t xml:space="preserve">Taxes</t>
  </si>
  <si>
    <t xml:space="preserve">Net Income</t>
  </si>
  <si>
    <t xml:space="preserve">Talvorn Technical Services, LLC | Detailed Balance Sheet</t>
  </si>
  <si>
    <t xml:space="preserve">Authoritative consolidated actuals | USD (whole dollars) | Unaudited | Source: borrower Monthly Financial Package, Balance Sheet + Debt Service + TTM Detail tabs</t>
  </si>
  <si>
    <t xml:space="preserve">Cash</t>
  </si>
  <si>
    <t xml:space="preserve">Accounts Receivable</t>
  </si>
  <si>
    <t xml:space="preserve">Inventory and Other Current Assets</t>
  </si>
  <si>
    <t xml:space="preserve">Net Property and Equipment</t>
  </si>
  <si>
    <t xml:space="preserve">Total Assets</t>
  </si>
  <si>
    <t xml:space="preserve">Accounts Payable</t>
  </si>
  <si>
    <t xml:space="preserve">Funded Debt</t>
  </si>
  <si>
    <t xml:space="preserve">Total Liabilities</t>
  </si>
  <si>
    <t xml:space="preserve">Equity</t>
  </si>
  <si>
    <t xml:space="preserve">Liabilities and Equity</t>
  </si>
  <si>
    <t xml:space="preserve">Unamortized Financing Fees (contra debt)</t>
  </si>
  <si>
    <t xml:space="preserve">Balance Check (Total Assets - Liabilities and Equity)</t>
  </si>
  <si>
    <t xml:space="preserve">DEBT SERVICE (borrower-native roll-forward; source: Debt Service tab)</t>
  </si>
  <si>
    <t xml:space="preserve">Beginning Debt</t>
  </si>
  <si>
    <t xml:space="preserve">Draws</t>
  </si>
  <si>
    <t xml:space="preserve">PIK</t>
  </si>
  <si>
    <t xml:space="preserve">Scheduled Principal</t>
  </si>
  <si>
    <t xml:space="preserve">Ending Debt</t>
  </si>
  <si>
    <t xml:space="preserve">Cash Interest</t>
  </si>
  <si>
    <t xml:space="preserve">COVENANT-SUPPORT ROWS (Fixed_Charges inputs; DEVIATION -- sourced from this borrower's own native Debt Service-tab lines + TTM Detail 'Lease Payments' column, NOT debt-service-schedule.json, per covenant-spec.json step7_signoff decision 'fixed_charges_component_source' -- see Sources &amp; Notes)</t>
  </si>
  <si>
    <t xml:space="preserve">Cash Interest Expense</t>
  </si>
  <si>
    <t xml:space="preserve">Scheduled Debt Principal Payments</t>
  </si>
  <si>
    <t xml:space="preserve">Lease Payments</t>
  </si>
  <si>
    <t xml:space="preserve">Talvorn Technical Services, LLC | Detailed Cash Flow Statement (as reported)</t>
  </si>
  <si>
    <t xml:space="preserve">Authoritative consolidated actuals | USD (whole dollars) | Unaudited | Source: borrower Monthly Financial Package, Cash Flow tab</t>
  </si>
  <si>
    <t xml:space="preserve">Beginning Cash</t>
  </si>
  <si>
    <t xml:space="preserve">Operating Cash Flow</t>
  </si>
  <si>
    <t xml:space="preserve">Capital Expenditures</t>
  </si>
  <si>
    <t xml:space="preserve">Financing Cash Flow</t>
  </si>
  <si>
    <t xml:space="preserve">Net Cash Movement</t>
  </si>
  <si>
    <t xml:space="preserve">Ending Cash</t>
  </si>
  <si>
    <t xml:space="preserve">Depreciation</t>
  </si>
  <si>
    <t xml:space="preserve">Financing Fee Amortization</t>
  </si>
  <si>
    <t xml:space="preserve">Increase in Net Working Capital</t>
  </si>
  <si>
    <t xml:space="preserve">Gross Refinancing Proceeds</t>
  </si>
  <si>
    <t xml:space="preserve">Legacy Principal Payoff</t>
  </si>
  <si>
    <t xml:space="preserve">Cash Financing Fees</t>
  </si>
  <si>
    <t xml:space="preserve">MEMO (tie-out checks)</t>
  </si>
  <si>
    <t xml:space="preserve">Memo: Cash per Balance Sheet</t>
  </si>
  <si>
    <t xml:space="preserve">Memo: CF-vs-BS cash tie (diff, should be 0)</t>
  </si>
  <si>
    <t xml:space="preserve">Memo: CF Net Income vs IS Net Income tie (diff, should be 0)</t>
  </si>
  <si>
    <t xml:space="preserve">Entity</t>
  </si>
  <si>
    <t xml:space="preserve">Talvorn Technical Services, LLC (consolidated) -- single obligor, no guarantors, no separate divisional/subsidiary consolidation levels reported anywhere in the deal folder (Information Certificate: the four reporting departments 'are departments, not separate obligors'). borrower-config model.entity = 'consolidated'.</t>
  </si>
  <si>
    <t xml:space="preserve">Units</t>
  </si>
  <si>
    <t xml:space="preserve">USD, whole dollars (model.scale = 1). Every monthly package states its own caption verbatim as 'Authoritative consolidated actuals | USD'. Sanity-checked against 2026-06 Net Revenue ($13,852,034.69) and FY2024 annual revenue ($135,209,741.65, Finance/Annual Statements/2024) -- consistent whole-dollar scale throughout, no thousands/millions mismatch.</t>
  </si>
  <si>
    <t xml:space="preserve">Basis</t>
  </si>
  <si>
    <t xml:space="preserve">Actuals only -- company-prepared monthly financial packages, unaudited. No proforma/budget/forecast figures are included (Approved Budget.xlsx is out of scope for this workbook; reserved for the budget-vs-actual module, which runs 2026-01 through 2026-06 only, per borrower-config.json's budget_version_note).</t>
  </si>
  <si>
    <t xml:space="preserve">Coverage</t>
  </si>
  <si>
    <t xml:space="preserve">Sep 2024 through Jun 2026 (22 months), matching every monthly subfolder present under Finance Uploads/Monthly Close (2024/09 through 2026/06, continuous, no gaps). Each month's folder carries exactly ap-ar-aging.xlsx, department-actuals.xlsx, monthly-current.xlsx, sales-by-channel.xlsx, plus certificate.pdf from 2025-01 onward (the facility closed 2025-01-15; the four 2024 months predate the credit agreement and carry no certificate, a contractual fact, not a gap).</t>
  </si>
  <si>
    <t xml:space="preserve">Source files -- single-source-per-month</t>
  </si>
  <si>
    <t xml:space="preserve">Unlike some other borrowers in this portfolio batch, Talvorn's monthly-current.xlsx is a SINGLE-MONTH package (one data column only) every month -- there is no consolidated multi-month or YTD file anywhere in the reporting-packages folder. Every Income Statement, Balance Sheet, Cash Flow, and Debt Service figure in this model is therefore sourced from that month's OWN monthly-current.xlsx (Income Statement / Balance Sheet / Cash Flow / Debt Service / TTM Detail tabs) -- there is only one candidate source per month, so 'latest/most-consolidated wins' has nothing to adjudicate. Revenue-channel detail comes from that same month's sales-by-channel.xlsx ('Detail' tab); opex department detail comes from that same month's department-actuals.xlsx ('Department Detail' tab).</t>
  </si>
  <si>
    <t xml:space="preserve">Restatement scan</t>
  </si>
  <si>
    <t xml:space="preserve">Full restatement scan performed. No prior canonical model exists (first build for this borrower). No two packages in the reporting folder overlap the same month (single-month-per-package structure, unlike other borrowers in this batch that ship a rolling multi-month window). The only other document touching an overlapping period is Finance/Annual Statements/2024/Income-Statement.xlsx (FY2024 ANNUAL total, $135,209,741.65 revenue) -- an annual total, not a monthly breakdown, so it cannot be compared at month granularity against this model's Sep-Dec 2024 columns without the missing Jan-Aug 2024 months; cited here for context only, not used as a restatement source or tie-out. Result: ZERO restatements found. restatements.json is written empty (schema present, zero entries).</t>
  </si>
  <si>
    <t xml:space="preserve">Revenue detail (sales-by-channel.xlsx)</t>
  </si>
  <si>
    <t xml:space="preserve">Net Revenue is broken into its four native channels (Technical Field Service, Maintenance Programs, Equipment Solutions, Engineering Support) per borrower-config.json's model_lines.revenue_components. Verified to SUM EXACTLY to the native 'Net Revenue' Income Statement line for all 22 months (max diff $0.00, e.g. Jun 2026: 4,709,691.79 + 4,294,130.75 + 3,324,488.33 + 1,523,723.82 = 13,852,034.69).</t>
  </si>
  <si>
    <t xml:space="preserve">Opex detail (department-actuals.xlsx + Department to GL Mapping.xlsx)</t>
  </si>
  <si>
    <t xml:space="preserve">The Income Statement's single native 'Operating Expenses' line is broken into its four department accounts -- Growth and Bid Support (Sales), Branch Overhead (Operations), Product Engineering (Product), General and Administrative (Corporate) -- per borrower-config.json's opex_groups mapping. Each month's department-actuals.xlsx (12 rows: one Net Revenue, one Cost of Revenue, one Operating Expenses account per department) is filtered through the Board-APPROVED 'Planning/Approved/Department to GL Mapping.xlsx' (Standard GL = 'Operating Expenses') to isolate these four accounts. The DRAFT 'Planning/Working/Department to GL Mapping DRAFT NOT APPROVED.xlsx' -- which swaps 'Customer Programs' and 'Growth and Bid Support' between Net Revenue and Operating Expenses, exactly backwards -- was NOT used anywhere in this build. Verified to SUM EXACTLY to the native 'Operating Expenses' line for all 22 months (max diff $0.00, e.g. Jun 2026: 706,936.95 + 1,355,437.14 + 1,023,161.24 + 628,750.03 = 3,714,285.36).</t>
  </si>
  <si>
    <t xml:space="preserve">Judgment call -- mapping effective date</t>
  </si>
  <si>
    <t xml:space="preserve">Planning/Approved/Department to GL Mapping.xlsx states 'Effective Date: 2025-01-01' on every row, while department-actuals.xlsx is delivered with an identical 12-row account/department shape for all 22 months, including the four pre-close months (2024-09 through 2024-12) that predate that effective date. This build applies the same (only) Approved mapping to those four pre-effective months too, since no alternate mapping exists for that period and the account list is structurally unchanged. This affects only the presentational opex sub-line breakdown for those 4 months, never the native, mapping-independent consolidated 'Operating Expenses' total. Low-stakes, reversible judgment call -- flagged for the analyst; the alternative reading (treat the 4 pre-effective months' opex sub-lines as unmapped/blank) would leave those 4 months' opex_groups breakdown empty while leaving every other figure in the model unchanged.</t>
  </si>
  <si>
    <t xml:space="preserve">Cash Flow</t>
  </si>
  <si>
    <t xml:space="preserve">As-reported from the borrower's own 'Cash Flow' tab every month (not derived) -- ties exactly to the Balance Sheet's Cash line and the Income Statement's Net Income every month (see the two MEMO tie-out rows on this sheet; both diffs compute to 0 for all 22 months). Includes the borrower's own one-time 'Cash Financing Fees' leaf line ($1,041,394.23, the 1% origination fee paid from existing cash at the Jan 15, 2025 closing -- present as $0.00 every other month); dropping this line would have broken the Jan 2025 Financing Cash Flow tie by exactly that amount.</t>
  </si>
  <si>
    <t xml:space="preserve">Balance Sheet -- condensed, no current/non-current split</t>
  </si>
  <si>
    <t xml:space="preserve">The borrower's own Balance Sheet is CONDENSED, not classified: Cash / Accounts Receivable / Inventory and Other Current Assets / Net Property and Equipment / Total Assets on the asset side, Accounts Payable / Funded Debt / Total Liabilities / Equity / Liabilities and Equity on the other, with 'Unamortized Financing Fees (contra debt)' carried as its own separate line (NOT netted against Funded Debt, per the agreement's own Funded Debt definition: 'gross principal, without netting cash or unamortized financing fees'). No current-vs-non-current subtotal split exists anywhere in the source; none is invented here, consistent with borrower-config.json's analysis_lines._omitted_note.</t>
  </si>
  <si>
    <t xml:space="preserve">Balance Sheet FY/YTD columns</t>
  </si>
  <si>
    <t xml:space="preserve">FY2024(Sep-Dec)/FY2025/2026-YTD columns are PERIOD-END (spot) snapshots -- the LAST month's value in that period, not a sum -- for every stock-type row on the Balance Sheet (Cash through Liabilities and Equity, Unamortized Financing Fees, Balance Check, and in the DEBT SERVICE block, Ending Debt). 'Beginning Debt' uses the PERIOD-START (FIRST month's) value instead, since it is a stock value measured at the start, not the end, of the period. FLOW-type rows in the DEBT SERVICE block (Draws, PIK, Scheduled Principal, Cash Interest) and all three COVENANT-SUPPORT rows (Cash Interest Expense, Scheduled Debt Principal Payments, Lease Payments) SUM over the period instead, like the Income Statement and Cash Flow Statement FY/YTD columns do, since a period total is what a Fixed-Charges-style coverage figure needs.</t>
  </si>
  <si>
    <t xml:space="preserve">EBITDA bridge</t>
  </si>
  <si>
    <t xml:space="preserve">Per covenant-spec.json#/definitions/Covenant_EBITDA: 'Covenant EBITDA equals Reported EBITDA. No EBITDA adjustments are permitted under this agreement.' Bound to this model's single pinned 'Reported EBITDA' Income Statement row (Gross Profit - Operating Expenses), with NO add-back/adjustment lines on its face -- consistent with the agreement's own explicit statement that forecasts, synergies and owner contributions are not earnings. NOT provisional -- this is the spec-directed definition, independently verified against the borrower's own Mar 2025 package (Income Statement Reported EBITDA $1,952,840.78 = TTM Detail tab's own 'Covenant EBITDA' column for the same month, to the cent). No deemed-EBITDA schedule exists in this agreement.</t>
  </si>
  <si>
    <t xml:space="preserve">Covenant-support rows -- DEVIATION FROM STANDARD METHOD</t>
  </si>
  <si>
    <t xml:space="preserve">Per covenant-spec.json step7_signoff decision 'fixed_charges_component_source' (analyst-approved 2026-09-16), 'Cash Interest Expense' and 'Scheduled Debt Principal Payments' are sourced DIRECTLY from this borrower's own native Debt Service-tab 'Cash Interest' / 'Scheduled Principal' lines for every month -- NOT from the generated debt-service-schedule.json (confirmed to exist at store:borrowers/talvorn-technical-services/.record/current/config/debt-service-schedule.json, but intentionally not read for these two rows). The generated schedule is a documented, quantified approximation on two fronts (flat-original-principal amortization base vs. the true monthly declining-balance mechanic; and a flat annual-rate/12 interest convention the engine's day-count options cannot reproduce exactly), per debt-service-spec.json's amortization_base and day_count notes -- both independently verified against the native Debt Service tab in 5+ months checked in this build (2025-01 Cash Interest $940,726.12 vs. Debt Service tab $923,369.55 stub mismatch aside; ordinary months verified to the cent: e.g. Jun 2026 Debt Service tab Cash Interest $892,472.31, Scheduled Principal $201,309.54, both = 0.20%/10.64%-12 of that month's own beginning balance $100,654,771.63 to the cent). Talvorn carries no debt besides this one facility, so there is no cross-facility contamination risk.</t>
  </si>
  <si>
    <t xml:space="preserve">Lease Payments row (synthesized)</t>
  </si>
  <si>
    <t xml:space="preserve">The Fixed_Charges covenant definition's third component ('Lease Payments') does not exist anywhere on the native Income Statement, Balance Sheet, or Cash Flow tabs -- lease costs remain embedded, undetailed, inside the native 'Operating Expenses' figure (per the agreement: 'Lease costs remain in Operating Expenses and are not added back to EBITDA'). It exists ONLY as its own column ('Lease Payments', column E) inside each monthly package's 'TTM Detail' tab. This build reads, for each of the 22 months, THAT MONTH'S OWN row in its OWN package's TTM Detail tab (the row whose Period label matches the package's own reporting month) -- not a historical row reached from a single month's 12-row TTM window -- so no cross-month reach-back was needed. Values are carried POSITIVE as delivered (a repeating 3-month cycle of $18,653.68 / $20,985.39 / $23,317.10, confirmed in every one of the 22 months) so the Fixed_Charges SUM (Cash Interest Expense + Scheduled Debt Principal Payments + Lease Payments) resolves correctly -- a negative-signed lease row would silently break that sum.</t>
  </si>
  <si>
    <t xml:space="preserve">Pre-archive TTM window gap (flagged, not fabricated)</t>
  </si>
  <si>
    <t xml:space="preserve">The first quarterly FCCR test date (2025-03-31) needs a trailing-twelve-month EBITDA/Fixed-Charges window back to 2024-04, but this model's own source archive (Finance Uploads/Monthly Close) begins 2024-09 -- five months short (2024-04 through 2024-08 are not present anywhere in the archive this model consolidates). This model is built honestly from what the archive actually contains, starting 2024-09; NO months were fabricated to fill the gap. A downstream covenant-compliance module computing its OWN trailing-12-month window from this model may correctly read 'insufficient history' at the 2025-03-31 and 2025-06-30 test dates, even though the borrower's own certified TTM Detail tabs (a separate supplemental source, embedded in every monthly package but NOT itself consolidated into this model beyond the single current-month Lease Payments figure) already carry populated figures for those months. That is the correct, disclosed outcome for this stage, not a build defect.</t>
  </si>
  <si>
    <t xml:space="preserve">Config-vs-config discrepancy flagged (Interest Expense sourcing)</t>
  </si>
  <si>
    <t xml:space="preserve">borrower-config.json's model_lines._gap_note states Interest Expense and Taxes 'were independently confirmed to equal the Debt Service tab's cash-interest figure exactly in every month checked (no cash/accrual timing difference).' This build's own direct read finds that is NOT the case: e.g. Mar 2025 native Income Statement Interest Expense is $937,036.33 while the same month's Debt Service tab Cash Interest is $919,679.76 -- a $17,356.57 gap equal exactly to that month's Cash Flow tab 'Financing Fee Amortization' line (i.e. the P&amp;L Interest Expense line includes noncash financing-fee amortization that the Debt Service tab's Cash Interest excludes). This matches covenant-spec.json's OWN more careful finding in its Fixed_Charges note, which is the definition actually followed for the covenant-support rows above. Flagged as a documentation inconsistency in borrower-config.json (worth a correction pass there), not a defect in this build -- the Income Statement's native 'Interest Expense' line is left exactly as reported (it is the correct P&amp;L accrual figure), and the covenant-support 'Cash Interest Expense' row correctly uses the Debt Service tab's own Cash Interest instead.</t>
  </si>
  <si>
    <t xml:space="preserve">Budget (out of scope for this workbook)</t>
  </si>
  <si>
    <t xml:space="preserve">budget_path (Planning/Approved/Approved Budget.xlsx, 2026-01 through 2026-06 only -- no FY2025 budget exists for this borrower) is NOT read into this workbook; it is out of the build-monitoring-model Contract (statements only) and reserved for the budget-vs-actual analysis module.</t>
  </si>
  <si>
    <t xml:space="preserve">Materiality threshold (pinned)</t>
  </si>
  <si>
    <t xml:space="preserve">Restatement / tie-out materiality threshold: the greater of $25,000 or 1% of the line, per assembling-rules.md standard. Not triggered this build (zero restatements found).</t>
  </si>
  <si>
    <t xml:space="preserve">Validation</t>
  </si>
  <si>
    <t xml:space="preserve">Balance Sheet balances every month (Balance Check row = 0, verified to the cent for all 22 months). Income-statement subtotals foot (Net Revenue = SUM of 4 channels; Gross Profit = Net Revenue - Cost of Revenue; Operating Expenses = SUM of 4 department accounts; Reported EBITDA = Gross Profit - Operating Expenses; Operating Income, Income Before Taxes, Net Income all derive correctly -- every subtotal ties its own native package value exactly, max diff $0.00 across all 22 months). Cash Flow ties to the Balance Sheet's Cash and the Income Statement's Net Income every month (both MEMO tie-out rows on the Cash Flow Statement sheet compute to 0 for all 22 months). Debt Service Ending Debt rolls forward continuously month to month (this month's Ending Debt = next month's Beginning Debt, verified for all 21 month-to-month transitions) and ties exactly to the Balance Sheet's Funded Debt line every month (verified to the cent, all 22 months).</t>
  </si>
  <si>
    <t xml:space="preserve">Build tool / recalc</t>
  </si>
  <si>
    <t xml:space="preserve">Built with openpyxl; formula cells recalculated (cached values populated) via headless LibreOffice as the LAST write, per assembling-rules.md. Gated with references/validate_model.py before becoming canonical.</t>
  </si>
</sst>
</file>

<file path=xl/styles.xml><?xml version="1.0" encoding="utf-8"?>
<styleSheet xmlns="http://schemas.openxmlformats.org/spreadsheetml/2006/main">
  <numFmts count="3">
    <numFmt numFmtId="164" formatCode="General"/>
    <numFmt numFmtId="165" formatCode="@"/>
    <numFmt numFmtId="166" formatCode="#,##0.00"/>
  </numFmts>
  <fonts count="9">
    <font>
      <sz val="11"/>
      <color theme="1"/>
      <name val="Calibri"/>
      <family val="2"/>
      <charset val="1"/>
    </font>
    <font>
      <sz val="10"/>
      <name val="Arial"/>
      <family val="0"/>
    </font>
    <font>
      <sz val="10"/>
      <name val="Arial"/>
      <family val="0"/>
    </font>
    <font>
      <sz val="10"/>
      <name val="Arial"/>
      <family val="0"/>
    </font>
    <font>
      <sz val="11"/>
      <color rgb="FF000000"/>
      <name val="Calibri"/>
      <family val="0"/>
      <charset val="1"/>
    </font>
    <font>
      <b val="true"/>
      <sz val="11"/>
      <color rgb="FF000000"/>
      <name val="Cambria"/>
      <family val="0"/>
      <charset val="1"/>
    </font>
    <font>
      <sz val="11"/>
      <color rgb="FF0000FF"/>
      <name val="Calibri"/>
      <family val="0"/>
      <charset val="1"/>
    </font>
    <font>
      <sz val="11"/>
      <color rgb="FF000000"/>
      <name val="Cambria"/>
      <family val="0"/>
      <charset val="1"/>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6" min="2" style="0" width="15"/>
  </cols>
  <sheetData>
    <row r="1" customFormat="false" ht="15" hidden="false" customHeight="false" outlineLevel="0" collapsed="false">
      <c r="A1" s="0" t="s">
        <v>0</v>
      </c>
    </row>
    <row r="2" customFormat="false" ht="15" hidden="false" customHeight="false" outlineLevel="0" collapsed="false">
      <c r="A2" s="0" t="s">
        <v>1</v>
      </c>
    </row>
    <row r="6" customFormat="false" ht="15" hidden="false" customHeight="false" outlineLevel="0" collapsed="false">
      <c r="A6" s="1" t="s">
        <v>2</v>
      </c>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c r="Z6" s="2" t="s">
        <v>27</v>
      </c>
    </row>
    <row r="7" customFormat="false" ht="15" hidden="false" customHeight="false" outlineLevel="0" collapsed="false">
      <c r="A7" s="3" t="s">
        <v>28</v>
      </c>
    </row>
    <row r="8" customFormat="false" ht="15" hidden="false" customHeight="false" outlineLevel="0" collapsed="false">
      <c r="A8" s="1" t="s">
        <v>29</v>
      </c>
      <c r="B8" s="4" t="n">
        <v>3998859.61</v>
      </c>
      <c r="C8" s="4" t="n">
        <v>4044523.32</v>
      </c>
      <c r="D8" s="4" t="n">
        <v>4860209.19</v>
      </c>
      <c r="E8" s="4" t="n">
        <v>3914924</v>
      </c>
      <c r="F8" s="4" t="n">
        <v>4147668.98</v>
      </c>
      <c r="G8" s="4" t="n">
        <v>3896972.77</v>
      </c>
      <c r="H8" s="4" t="n">
        <v>4611262</v>
      </c>
      <c r="I8" s="4" t="n">
        <v>4458128.58</v>
      </c>
      <c r="J8" s="4" t="n">
        <v>4603439.62</v>
      </c>
      <c r="K8" s="4" t="n">
        <v>4440978.43</v>
      </c>
      <c r="L8" s="4" t="n">
        <v>4898996.4</v>
      </c>
      <c r="M8" s="4" t="n">
        <v>4448106.47</v>
      </c>
      <c r="N8" s="4" t="n">
        <v>4773355.74</v>
      </c>
      <c r="O8" s="4" t="n">
        <v>4590406.14</v>
      </c>
      <c r="P8" s="4" t="n">
        <v>5156494.31</v>
      </c>
      <c r="Q8" s="4" t="n">
        <v>4194066.74</v>
      </c>
      <c r="R8" s="4" t="n">
        <v>4347905.23</v>
      </c>
      <c r="S8" s="4" t="n">
        <v>4321630.23</v>
      </c>
      <c r="T8" s="4" t="n">
        <v>4972100.34</v>
      </c>
      <c r="U8" s="4" t="n">
        <v>4591379.12</v>
      </c>
      <c r="V8" s="4" t="n">
        <v>4974054.36</v>
      </c>
      <c r="W8" s="4" t="n">
        <v>4709691.79</v>
      </c>
      <c r="X8" s="5" t="n">
        <f aca="false">SUM(B8:E8)</f>
        <v>16818516.12</v>
      </c>
      <c r="Y8" s="5" t="n">
        <f aca="false">SUM(F8:Q8)</f>
        <v>54219876.18</v>
      </c>
      <c r="Z8" s="5" t="n">
        <f aca="false">SUM(R8:W8)</f>
        <v>27916761.07</v>
      </c>
    </row>
    <row r="9" customFormat="false" ht="15" hidden="false" customHeight="false" outlineLevel="0" collapsed="false">
      <c r="A9" s="1" t="s">
        <v>30</v>
      </c>
      <c r="B9" s="4" t="n">
        <v>3221303.57</v>
      </c>
      <c r="C9" s="4" t="n">
        <v>3687653.61</v>
      </c>
      <c r="D9" s="4" t="n">
        <v>3581206.77</v>
      </c>
      <c r="E9" s="4" t="n">
        <v>3355649.14</v>
      </c>
      <c r="F9" s="4" t="n">
        <v>3341177.79</v>
      </c>
      <c r="G9" s="4" t="n">
        <v>3553122.23</v>
      </c>
      <c r="H9" s="4" t="n">
        <v>3397772</v>
      </c>
      <c r="I9" s="4" t="n">
        <v>3821253.07</v>
      </c>
      <c r="J9" s="4" t="n">
        <v>3708326.36</v>
      </c>
      <c r="K9" s="4" t="n">
        <v>4049127.39</v>
      </c>
      <c r="L9" s="4" t="n">
        <v>3609786.82</v>
      </c>
      <c r="M9" s="4" t="n">
        <v>3812662.69</v>
      </c>
      <c r="N9" s="4" t="n">
        <v>3845203.23</v>
      </c>
      <c r="O9" s="4" t="n">
        <v>4185370.31</v>
      </c>
      <c r="P9" s="4" t="n">
        <v>3799522.12</v>
      </c>
      <c r="Q9" s="4" t="n">
        <v>3594914.35</v>
      </c>
      <c r="R9" s="4" t="n">
        <v>3502479.21</v>
      </c>
      <c r="S9" s="4" t="n">
        <v>3940309.91</v>
      </c>
      <c r="T9" s="4" t="n">
        <v>3663652.89</v>
      </c>
      <c r="U9" s="4" t="n">
        <v>3935467.82</v>
      </c>
      <c r="V9" s="4" t="n">
        <v>4006877.13</v>
      </c>
      <c r="W9" s="4" t="n">
        <v>4294130.75</v>
      </c>
      <c r="X9" s="5" t="n">
        <f aca="false">SUM(B9:E9)</f>
        <v>13845813.09</v>
      </c>
      <c r="Y9" s="5" t="n">
        <f aca="false">SUM(F9:Q9)</f>
        <v>44718238.36</v>
      </c>
      <c r="Z9" s="5" t="n">
        <f aca="false">SUM(R9:W9)</f>
        <v>23342917.71</v>
      </c>
    </row>
    <row r="10" customFormat="false" ht="15" hidden="false" customHeight="false" outlineLevel="0" collapsed="false">
      <c r="A10" s="1" t="s">
        <v>31</v>
      </c>
      <c r="B10" s="4" t="n">
        <v>2554826.97</v>
      </c>
      <c r="C10" s="4" t="n">
        <v>2854957.63</v>
      </c>
      <c r="D10" s="4" t="n">
        <v>2813805.32</v>
      </c>
      <c r="E10" s="4" t="n">
        <v>2460809.37</v>
      </c>
      <c r="F10" s="4" t="n">
        <v>2649899.63</v>
      </c>
      <c r="G10" s="4" t="n">
        <v>2750804.31</v>
      </c>
      <c r="H10" s="4" t="n">
        <v>2669678</v>
      </c>
      <c r="I10" s="4" t="n">
        <v>2802252.25</v>
      </c>
      <c r="J10" s="4" t="n">
        <v>2941086.43</v>
      </c>
      <c r="K10" s="4" t="n">
        <v>3134808.3</v>
      </c>
      <c r="L10" s="4" t="n">
        <v>2836261.08</v>
      </c>
      <c r="M10" s="4" t="n">
        <v>2795952.64</v>
      </c>
      <c r="N10" s="4" t="n">
        <v>3049643.94</v>
      </c>
      <c r="O10" s="4" t="n">
        <v>3240286.69</v>
      </c>
      <c r="P10" s="4" t="n">
        <v>2985338.81</v>
      </c>
      <c r="Q10" s="4" t="n">
        <v>2636270.52</v>
      </c>
      <c r="R10" s="4" t="n">
        <v>2777828.34</v>
      </c>
      <c r="S10" s="4" t="n">
        <v>3050562.51</v>
      </c>
      <c r="T10" s="4" t="n">
        <v>2878584.41</v>
      </c>
      <c r="U10" s="4" t="n">
        <v>2886009.73</v>
      </c>
      <c r="V10" s="4" t="n">
        <v>3177868.07</v>
      </c>
      <c r="W10" s="4" t="n">
        <v>3324488.33</v>
      </c>
      <c r="X10" s="5" t="n">
        <f aca="false">SUM(B10:E10)</f>
        <v>10684399.29</v>
      </c>
      <c r="Y10" s="5" t="n">
        <f aca="false">SUM(F10:Q10)</f>
        <v>34492282.6</v>
      </c>
      <c r="Z10" s="5" t="n">
        <f aca="false">SUM(R10:W10)</f>
        <v>18095341.39</v>
      </c>
    </row>
    <row r="11" customFormat="false" ht="15" hidden="false" customHeight="false" outlineLevel="0" collapsed="false">
      <c r="A11" s="1" t="s">
        <v>32</v>
      </c>
      <c r="B11" s="4" t="n">
        <v>1332953.21</v>
      </c>
      <c r="C11" s="4" t="n">
        <v>1308522.25</v>
      </c>
      <c r="D11" s="4" t="n">
        <v>1534802.9</v>
      </c>
      <c r="E11" s="4" t="n">
        <v>1454114.63</v>
      </c>
      <c r="F11" s="4" t="n">
        <v>1382556.32</v>
      </c>
      <c r="G11" s="4" t="n">
        <v>1260785.3</v>
      </c>
      <c r="H11" s="4" t="n">
        <v>1456188.01</v>
      </c>
      <c r="I11" s="4" t="n">
        <v>1655876.34</v>
      </c>
      <c r="J11" s="4" t="n">
        <v>1534479.88</v>
      </c>
      <c r="K11" s="4" t="n">
        <v>1436787.15</v>
      </c>
      <c r="L11" s="4" t="n">
        <v>1547051.5</v>
      </c>
      <c r="M11" s="4" t="n">
        <v>1652153.84</v>
      </c>
      <c r="N11" s="4" t="n">
        <v>1591118.58</v>
      </c>
      <c r="O11" s="4" t="n">
        <v>1485131.4</v>
      </c>
      <c r="P11" s="4" t="n">
        <v>1628366.63</v>
      </c>
      <c r="Q11" s="4" t="n">
        <v>1557796.23</v>
      </c>
      <c r="R11" s="4" t="n">
        <v>1449301.74</v>
      </c>
      <c r="S11" s="4" t="n">
        <v>1398174.49</v>
      </c>
      <c r="T11" s="4" t="n">
        <v>1570136.95</v>
      </c>
      <c r="U11" s="4" t="n">
        <v>1705369.39</v>
      </c>
      <c r="V11" s="4" t="n">
        <v>1658018.12</v>
      </c>
      <c r="W11" s="4" t="n">
        <v>1523723.82</v>
      </c>
      <c r="X11" s="5" t="n">
        <f aca="false">SUM(B11:E11)</f>
        <v>5630392.99</v>
      </c>
      <c r="Y11" s="5" t="n">
        <f aca="false">SUM(F11:Q11)</f>
        <v>18188291.18</v>
      </c>
      <c r="Z11" s="5" t="n">
        <f aca="false">SUM(R11:W11)</f>
        <v>9304724.51</v>
      </c>
    </row>
    <row r="12" customFormat="false" ht="15" hidden="false" customHeight="false" outlineLevel="0" collapsed="false">
      <c r="A12" s="3" t="s">
        <v>33</v>
      </c>
      <c r="B12" s="5" t="n">
        <f aca="false">SUM(B8:B11)</f>
        <v>11107943.36</v>
      </c>
      <c r="C12" s="5" t="n">
        <f aca="false">SUM(C8:C11)</f>
        <v>11895656.81</v>
      </c>
      <c r="D12" s="5" t="n">
        <f aca="false">SUM(D8:D11)</f>
        <v>12790024.18</v>
      </c>
      <c r="E12" s="5" t="n">
        <f aca="false">SUM(E8:E11)</f>
        <v>11185497.14</v>
      </c>
      <c r="F12" s="5" t="n">
        <f aca="false">SUM(F8:F11)</f>
        <v>11521302.72</v>
      </c>
      <c r="G12" s="5" t="n">
        <f aca="false">SUM(G8:G11)</f>
        <v>11461684.61</v>
      </c>
      <c r="H12" s="5" t="n">
        <f aca="false">SUM(H8:H11)</f>
        <v>12134900.01</v>
      </c>
      <c r="I12" s="5" t="n">
        <f aca="false">SUM(I8:I11)</f>
        <v>12737510.24</v>
      </c>
      <c r="J12" s="5" t="n">
        <f aca="false">SUM(J8:J11)</f>
        <v>12787332.29</v>
      </c>
      <c r="K12" s="5" t="n">
        <f aca="false">SUM(K8:K11)</f>
        <v>13061701.27</v>
      </c>
      <c r="L12" s="5" t="n">
        <f aca="false">SUM(L8:L11)</f>
        <v>12892095.8</v>
      </c>
      <c r="M12" s="5" t="n">
        <f aca="false">SUM(M8:M11)</f>
        <v>12708875.64</v>
      </c>
      <c r="N12" s="5" t="n">
        <f aca="false">SUM(N8:N11)</f>
        <v>13259321.49</v>
      </c>
      <c r="O12" s="5" t="n">
        <f aca="false">SUM(O8:O11)</f>
        <v>13501194.54</v>
      </c>
      <c r="P12" s="5" t="n">
        <f aca="false">SUM(P8:P11)</f>
        <v>13569721.87</v>
      </c>
      <c r="Q12" s="5" t="n">
        <f aca="false">SUM(Q8:Q11)</f>
        <v>11983047.84</v>
      </c>
      <c r="R12" s="5" t="n">
        <f aca="false">SUM(R8:R11)</f>
        <v>12077514.52</v>
      </c>
      <c r="S12" s="5" t="n">
        <f aca="false">SUM(S8:S11)</f>
        <v>12710677.14</v>
      </c>
      <c r="T12" s="5" t="n">
        <f aca="false">SUM(T8:T11)</f>
        <v>13084474.59</v>
      </c>
      <c r="U12" s="5" t="n">
        <f aca="false">SUM(U8:U11)</f>
        <v>13118226.06</v>
      </c>
      <c r="V12" s="5" t="n">
        <f aca="false">SUM(V8:V11)</f>
        <v>13816817.68</v>
      </c>
      <c r="W12" s="5" t="n">
        <f aca="false">SUM(W8:W11)</f>
        <v>13852034.69</v>
      </c>
      <c r="X12" s="5" t="n">
        <f aca="false">SUM(B12:E12)</f>
        <v>46979121.49</v>
      </c>
      <c r="Y12" s="5" t="n">
        <f aca="false">SUM(F12:Q12)</f>
        <v>151618688.32</v>
      </c>
      <c r="Z12" s="5" t="n">
        <f aca="false">SUM(R12:W12)</f>
        <v>78659744.68</v>
      </c>
    </row>
    <row r="14" customFormat="false" ht="15" hidden="false" customHeight="false" outlineLevel="0" collapsed="false">
      <c r="A14" s="1" t="s">
        <v>34</v>
      </c>
      <c r="B14" s="4" t="n">
        <v>5964965.58</v>
      </c>
      <c r="C14" s="4" t="n">
        <v>6284475.49</v>
      </c>
      <c r="D14" s="4" t="n">
        <v>6643138.56</v>
      </c>
      <c r="E14" s="4" t="n">
        <v>5910416.69</v>
      </c>
      <c r="F14" s="4" t="n">
        <v>6154679.91</v>
      </c>
      <c r="G14" s="4" t="n">
        <v>6183578.85</v>
      </c>
      <c r="H14" s="4" t="n">
        <v>6708172.73</v>
      </c>
      <c r="I14" s="4" t="n">
        <v>7147017</v>
      </c>
      <c r="J14" s="4" t="n">
        <v>7122544.09</v>
      </c>
      <c r="K14" s="4" t="n">
        <v>7178711.02</v>
      </c>
      <c r="L14" s="4" t="n">
        <v>6974623.83</v>
      </c>
      <c r="M14" s="4" t="n">
        <v>6709015.45</v>
      </c>
      <c r="N14" s="4" t="n">
        <v>7193181.91</v>
      </c>
      <c r="O14" s="4" t="n">
        <v>7252841.71</v>
      </c>
      <c r="P14" s="4" t="n">
        <v>7345290.45</v>
      </c>
      <c r="Q14" s="4" t="n">
        <v>6478035.66</v>
      </c>
      <c r="R14" s="4" t="n">
        <v>6407121.45</v>
      </c>
      <c r="S14" s="4" t="n">
        <v>6748098.49</v>
      </c>
      <c r="T14" s="4" t="n">
        <v>7179451.21</v>
      </c>
      <c r="U14" s="4" t="n">
        <v>7262249.95</v>
      </c>
      <c r="V14" s="4" t="n">
        <v>7473516.68</v>
      </c>
      <c r="W14" s="4" t="n">
        <v>7620004.28</v>
      </c>
      <c r="X14" s="5" t="n">
        <f aca="false">SUM(B14:E14)</f>
        <v>24802996.32</v>
      </c>
      <c r="Y14" s="5" t="n">
        <f aca="false">SUM(F14:Q14)</f>
        <v>82447692.61</v>
      </c>
      <c r="Z14" s="5" t="n">
        <f aca="false">SUM(R14:W14)</f>
        <v>42690442.06</v>
      </c>
    </row>
    <row r="15" customFormat="false" ht="15" hidden="false" customHeight="false" outlineLevel="0" collapsed="false">
      <c r="A15" s="3" t="s">
        <v>35</v>
      </c>
      <c r="B15" s="5" t="n">
        <f aca="false">B12-B14</f>
        <v>5142977.78</v>
      </c>
      <c r="C15" s="5" t="n">
        <f aca="false">C12-C14</f>
        <v>5611181.32</v>
      </c>
      <c r="D15" s="5" t="n">
        <f aca="false">D12-D14</f>
        <v>6146885.62</v>
      </c>
      <c r="E15" s="5" t="n">
        <f aca="false">E12-E14</f>
        <v>5275080.45</v>
      </c>
      <c r="F15" s="5" t="n">
        <f aca="false">F12-F14</f>
        <v>5366622.81</v>
      </c>
      <c r="G15" s="5" t="n">
        <f aca="false">G12-G14</f>
        <v>5278105.76</v>
      </c>
      <c r="H15" s="5" t="n">
        <f aca="false">H12-H14</f>
        <v>5426727.28</v>
      </c>
      <c r="I15" s="5" t="n">
        <f aca="false">I12-I14</f>
        <v>5590493.24</v>
      </c>
      <c r="J15" s="5" t="n">
        <f aca="false">J12-J14</f>
        <v>5664788.2</v>
      </c>
      <c r="K15" s="5" t="n">
        <f aca="false">K12-K14</f>
        <v>5882990.25</v>
      </c>
      <c r="L15" s="5" t="n">
        <f aca="false">L12-L14</f>
        <v>5917471.97</v>
      </c>
      <c r="M15" s="5" t="n">
        <f aca="false">M12-M14</f>
        <v>5999860.19</v>
      </c>
      <c r="N15" s="5" t="n">
        <f aca="false">N12-N14</f>
        <v>6066139.58</v>
      </c>
      <c r="O15" s="5" t="n">
        <f aca="false">O12-O14</f>
        <v>6248352.83</v>
      </c>
      <c r="P15" s="5" t="n">
        <f aca="false">P12-P14</f>
        <v>6224431.42</v>
      </c>
      <c r="Q15" s="5" t="n">
        <f aca="false">Q12-Q14</f>
        <v>5505012.18</v>
      </c>
      <c r="R15" s="5" t="n">
        <f aca="false">R12-R14</f>
        <v>5670393.07</v>
      </c>
      <c r="S15" s="5" t="n">
        <f aca="false">S12-S14</f>
        <v>5962578.65</v>
      </c>
      <c r="T15" s="5" t="n">
        <f aca="false">T12-T14</f>
        <v>5905023.38</v>
      </c>
      <c r="U15" s="5" t="n">
        <f aca="false">U12-U14</f>
        <v>5855976.11</v>
      </c>
      <c r="V15" s="5" t="n">
        <f aca="false">V12-V14</f>
        <v>6343301</v>
      </c>
      <c r="W15" s="5" t="n">
        <f aca="false">W12-W14</f>
        <v>6232030.41</v>
      </c>
      <c r="X15" s="5" t="n">
        <f aca="false">SUM(B15:E15)</f>
        <v>22176125.17</v>
      </c>
      <c r="Y15" s="5" t="n">
        <f aca="false">SUM(F15:Q15)</f>
        <v>69170995.71</v>
      </c>
      <c r="Z15" s="5" t="n">
        <f aca="false">SUM(R15:W15)</f>
        <v>35969302.62</v>
      </c>
    </row>
    <row r="17" customFormat="false" ht="15" hidden="false" customHeight="false" outlineLevel="0" collapsed="false">
      <c r="A17" s="3" t="s">
        <v>36</v>
      </c>
    </row>
    <row r="18" customFormat="false" ht="15" hidden="false" customHeight="false" outlineLevel="0" collapsed="false">
      <c r="A18" s="1" t="s">
        <v>37</v>
      </c>
      <c r="B18" s="4" t="n">
        <v>633817.65</v>
      </c>
      <c r="C18" s="4" t="n">
        <v>650257.82</v>
      </c>
      <c r="D18" s="4" t="n">
        <v>681628.75</v>
      </c>
      <c r="E18" s="4" t="n">
        <v>623882.26</v>
      </c>
      <c r="F18" s="4" t="n">
        <v>623146.88</v>
      </c>
      <c r="G18" s="4" t="n">
        <v>628668.58</v>
      </c>
      <c r="H18" s="4" t="n">
        <v>661188.9</v>
      </c>
      <c r="I18" s="4" t="n">
        <v>662964.45</v>
      </c>
      <c r="J18" s="4" t="n">
        <v>681624</v>
      </c>
      <c r="K18" s="4" t="n">
        <v>696222.1</v>
      </c>
      <c r="L18" s="4" t="n">
        <v>654492.79</v>
      </c>
      <c r="M18" s="4" t="n">
        <v>661472.68</v>
      </c>
      <c r="N18" s="4" t="n">
        <v>683062.45</v>
      </c>
      <c r="O18" s="4" t="n">
        <v>683320.75</v>
      </c>
      <c r="P18" s="4" t="n">
        <v>692277.03</v>
      </c>
      <c r="Q18" s="4" t="n">
        <v>667113.33</v>
      </c>
      <c r="R18" s="4" t="n">
        <v>655111.77</v>
      </c>
      <c r="S18" s="4" t="n">
        <v>656752.61</v>
      </c>
      <c r="T18" s="4" t="n">
        <v>678416.82</v>
      </c>
      <c r="U18" s="4" t="n">
        <v>665238.88</v>
      </c>
      <c r="V18" s="4" t="n">
        <v>698868.43</v>
      </c>
      <c r="W18" s="4" t="n">
        <v>706936.95</v>
      </c>
      <c r="X18" s="5" t="n">
        <f aca="false">SUM(B18:E18)</f>
        <v>2589586.48</v>
      </c>
      <c r="Y18" s="5" t="n">
        <f aca="false">SUM(F18:Q18)</f>
        <v>7995553.94</v>
      </c>
      <c r="Z18" s="5" t="n">
        <f aca="false">SUM(R18:W18)</f>
        <v>4061325.46</v>
      </c>
    </row>
    <row r="19" customFormat="false" ht="15" hidden="false" customHeight="false" outlineLevel="0" collapsed="false">
      <c r="A19" s="1" t="s">
        <v>38</v>
      </c>
      <c r="B19" s="4" t="n">
        <v>1215242.72</v>
      </c>
      <c r="C19" s="4" t="n">
        <v>1195543.7</v>
      </c>
      <c r="D19" s="4" t="n">
        <v>1253446.97</v>
      </c>
      <c r="E19" s="4" t="n">
        <v>1196537.83</v>
      </c>
      <c r="F19" s="4" t="n">
        <v>1195039.84</v>
      </c>
      <c r="G19" s="4" t="n">
        <v>1205541.73</v>
      </c>
      <c r="H19" s="4" t="n">
        <v>1267812.32</v>
      </c>
      <c r="I19" s="4" t="n">
        <v>1271126.98</v>
      </c>
      <c r="J19" s="4" t="n">
        <v>1253212.58</v>
      </c>
      <c r="K19" s="4" t="n">
        <v>1280282.68</v>
      </c>
      <c r="L19" s="4" t="n">
        <v>1255245.46</v>
      </c>
      <c r="M19" s="4" t="n">
        <v>1268539.13</v>
      </c>
      <c r="N19" s="4" t="n">
        <v>1309848.01</v>
      </c>
      <c r="O19" s="4" t="n">
        <v>1310249.56</v>
      </c>
      <c r="P19" s="4" t="n">
        <v>1327329.1</v>
      </c>
      <c r="Q19" s="4" t="n">
        <v>1226533.72</v>
      </c>
      <c r="R19" s="4" t="n">
        <v>1204684.91</v>
      </c>
      <c r="S19" s="4" t="n">
        <v>1259579.56</v>
      </c>
      <c r="T19" s="4" t="n">
        <v>1301033.75</v>
      </c>
      <c r="U19" s="4" t="n">
        <v>1275669.35</v>
      </c>
      <c r="V19" s="4" t="n">
        <v>1340061.82</v>
      </c>
      <c r="W19" s="4" t="n">
        <v>1355437.14</v>
      </c>
      <c r="X19" s="5" t="n">
        <f aca="false">SUM(B19:E19)</f>
        <v>4860771.22</v>
      </c>
      <c r="Y19" s="5" t="n">
        <f aca="false">SUM(F19:Q19)</f>
        <v>15170761.11</v>
      </c>
      <c r="Z19" s="5" t="n">
        <f aca="false">SUM(R19:W19)</f>
        <v>7736466.53</v>
      </c>
    </row>
    <row r="20" customFormat="false" ht="15" hidden="false" customHeight="false" outlineLevel="0" collapsed="false">
      <c r="A20" s="1" t="s">
        <v>39</v>
      </c>
      <c r="B20" s="4" t="n">
        <v>917334.5</v>
      </c>
      <c r="C20" s="4" t="n">
        <v>941230.27</v>
      </c>
      <c r="D20" s="4" t="n">
        <v>986744.13</v>
      </c>
      <c r="E20" s="4" t="n">
        <v>941875.63</v>
      </c>
      <c r="F20" s="4" t="n">
        <v>940629.13</v>
      </c>
      <c r="G20" s="4" t="n">
        <v>948828.18</v>
      </c>
      <c r="H20" s="4" t="n">
        <v>956844.74</v>
      </c>
      <c r="I20" s="4" t="n">
        <v>959519.12</v>
      </c>
      <c r="J20" s="4" t="n">
        <v>986631.95</v>
      </c>
      <c r="K20" s="4" t="n">
        <v>1007869.86</v>
      </c>
      <c r="L20" s="4" t="n">
        <v>988088.37</v>
      </c>
      <c r="M20" s="4" t="n">
        <v>998481.24</v>
      </c>
      <c r="N20" s="4" t="n">
        <v>1030923.01</v>
      </c>
      <c r="O20" s="4" t="n">
        <v>988873.02</v>
      </c>
      <c r="P20" s="4" t="n">
        <v>1001943.69</v>
      </c>
      <c r="Q20" s="4" t="n">
        <v>965628.16</v>
      </c>
      <c r="R20" s="4" t="n">
        <v>948357.44</v>
      </c>
      <c r="S20" s="4" t="n">
        <v>991500.03</v>
      </c>
      <c r="T20" s="4" t="n">
        <v>1024058.12</v>
      </c>
      <c r="U20" s="4" t="n">
        <v>1004022.51</v>
      </c>
      <c r="V20" s="4" t="n">
        <v>1011372.97</v>
      </c>
      <c r="W20" s="4" t="n">
        <v>1023161.24</v>
      </c>
      <c r="X20" s="5" t="n">
        <f aca="false">SUM(B20:E20)</f>
        <v>3787184.53</v>
      </c>
      <c r="Y20" s="5" t="n">
        <f aca="false">SUM(F20:Q20)</f>
        <v>11774260.47</v>
      </c>
      <c r="Z20" s="5" t="n">
        <f aca="false">SUM(R20:W20)</f>
        <v>6002472.31</v>
      </c>
    </row>
    <row r="21" customFormat="false" ht="15" hidden="false" customHeight="false" outlineLevel="0" collapsed="false">
      <c r="A21" s="1" t="s">
        <v>40</v>
      </c>
      <c r="B21" s="4" t="n">
        <v>563717.7</v>
      </c>
      <c r="C21" s="4" t="n">
        <v>578360.16</v>
      </c>
      <c r="D21" s="4" t="n">
        <v>606283.79</v>
      </c>
      <c r="E21" s="4" t="n">
        <v>578674.38</v>
      </c>
      <c r="F21" s="4" t="n">
        <v>554166.53</v>
      </c>
      <c r="G21" s="4" t="n">
        <v>559097.61</v>
      </c>
      <c r="H21" s="4" t="n">
        <v>588040.54</v>
      </c>
      <c r="I21" s="4" t="n">
        <v>589640.88</v>
      </c>
      <c r="J21" s="4" t="n">
        <v>606258.24</v>
      </c>
      <c r="K21" s="4" t="n">
        <v>619264.04</v>
      </c>
      <c r="L21" s="4" t="n">
        <v>607066.79</v>
      </c>
      <c r="M21" s="4" t="n">
        <v>588249.79</v>
      </c>
      <c r="N21" s="4" t="n">
        <v>607472.04</v>
      </c>
      <c r="O21" s="4" t="n">
        <v>607723.91</v>
      </c>
      <c r="P21" s="4" t="n">
        <v>615711.49</v>
      </c>
      <c r="Q21" s="4" t="n">
        <v>593351.99</v>
      </c>
      <c r="R21" s="4" t="n">
        <v>582697.91</v>
      </c>
      <c r="S21" s="4" t="n">
        <v>609162.85</v>
      </c>
      <c r="T21" s="4" t="n">
        <v>603318.25</v>
      </c>
      <c r="U21" s="4" t="n">
        <v>591620.91</v>
      </c>
      <c r="V21" s="4" t="n">
        <v>621551.51</v>
      </c>
      <c r="W21" s="4" t="n">
        <v>628750.03</v>
      </c>
      <c r="X21" s="5" t="n">
        <f aca="false">SUM(B21:E21)</f>
        <v>2327036.03</v>
      </c>
      <c r="Y21" s="5" t="n">
        <f aca="false">SUM(F21:Q21)</f>
        <v>7136043.85</v>
      </c>
      <c r="Z21" s="5" t="n">
        <f aca="false">SUM(R21:W21)</f>
        <v>3637101.46</v>
      </c>
    </row>
    <row r="22" customFormat="false" ht="15" hidden="false" customHeight="false" outlineLevel="0" collapsed="false">
      <c r="A22" s="3" t="s">
        <v>41</v>
      </c>
      <c r="B22" s="5" t="n">
        <f aca="false">SUM(B18:B21)</f>
        <v>3330112.57</v>
      </c>
      <c r="C22" s="5" t="n">
        <f aca="false">SUM(C18:C21)</f>
        <v>3365391.95</v>
      </c>
      <c r="D22" s="5" t="n">
        <f aca="false">SUM(D18:D21)</f>
        <v>3528103.64</v>
      </c>
      <c r="E22" s="5" t="n">
        <f aca="false">SUM(E18:E21)</f>
        <v>3340970.1</v>
      </c>
      <c r="F22" s="5" t="n">
        <f aca="false">SUM(F18:F21)</f>
        <v>3312982.38</v>
      </c>
      <c r="G22" s="5" t="n">
        <f aca="false">SUM(G18:G21)</f>
        <v>3342136.1</v>
      </c>
      <c r="H22" s="5" t="n">
        <f aca="false">SUM(H18:H21)</f>
        <v>3473886.5</v>
      </c>
      <c r="I22" s="5" t="n">
        <f aca="false">SUM(I18:I21)</f>
        <v>3483251.43</v>
      </c>
      <c r="J22" s="5" t="n">
        <f aca="false">SUM(J18:J21)</f>
        <v>3527726.77</v>
      </c>
      <c r="K22" s="5" t="n">
        <f aca="false">SUM(K18:K21)</f>
        <v>3603638.68</v>
      </c>
      <c r="L22" s="5" t="n">
        <f aca="false">SUM(L18:L21)</f>
        <v>3504893.41</v>
      </c>
      <c r="M22" s="5" t="n">
        <f aca="false">SUM(M18:M21)</f>
        <v>3516742.84</v>
      </c>
      <c r="N22" s="5" t="n">
        <f aca="false">SUM(N18:N21)</f>
        <v>3631305.51</v>
      </c>
      <c r="O22" s="5" t="n">
        <f aca="false">SUM(O18:O21)</f>
        <v>3590167.24</v>
      </c>
      <c r="P22" s="5" t="n">
        <f aca="false">SUM(P18:P21)</f>
        <v>3637261.31</v>
      </c>
      <c r="Q22" s="5" t="n">
        <f aca="false">SUM(Q18:Q21)</f>
        <v>3452627.2</v>
      </c>
      <c r="R22" s="5" t="n">
        <f aca="false">SUM(R18:R21)</f>
        <v>3390852.03</v>
      </c>
      <c r="S22" s="5" t="n">
        <f aca="false">SUM(S18:S21)</f>
        <v>3516995.05</v>
      </c>
      <c r="T22" s="5" t="n">
        <f aca="false">SUM(T18:T21)</f>
        <v>3606826.94</v>
      </c>
      <c r="U22" s="5" t="n">
        <f aca="false">SUM(U18:U21)</f>
        <v>3536551.65</v>
      </c>
      <c r="V22" s="5" t="n">
        <f aca="false">SUM(V18:V21)</f>
        <v>3671854.73</v>
      </c>
      <c r="W22" s="5" t="n">
        <f aca="false">SUM(W18:W21)</f>
        <v>3714285.36</v>
      </c>
      <c r="X22" s="5" t="n">
        <f aca="false">SUM(B22:E22)</f>
        <v>13564578.26</v>
      </c>
      <c r="Y22" s="5" t="n">
        <f aca="false">SUM(F22:Q22)</f>
        <v>42076619.37</v>
      </c>
      <c r="Z22" s="5" t="n">
        <f aca="false">SUM(R22:W22)</f>
        <v>21437365.76</v>
      </c>
    </row>
    <row r="23" customFormat="false" ht="15" hidden="false" customHeight="false" outlineLevel="0" collapsed="false">
      <c r="A23" s="3" t="s">
        <v>42</v>
      </c>
      <c r="B23" s="5" t="n">
        <f aca="false">B15-B22</f>
        <v>1812865.21</v>
      </c>
      <c r="C23" s="5" t="n">
        <f aca="false">C15-C22</f>
        <v>2245789.37</v>
      </c>
      <c r="D23" s="5" t="n">
        <f aca="false">D15-D22</f>
        <v>2618781.98</v>
      </c>
      <c r="E23" s="5" t="n">
        <f aca="false">E15-E22</f>
        <v>1934110.35</v>
      </c>
      <c r="F23" s="5" t="n">
        <f aca="false">F15-F22</f>
        <v>2053640.43</v>
      </c>
      <c r="G23" s="5" t="n">
        <f aca="false">G15-G22</f>
        <v>1935969.66</v>
      </c>
      <c r="H23" s="5" t="n">
        <f aca="false">H15-H22</f>
        <v>1952840.78</v>
      </c>
      <c r="I23" s="5" t="n">
        <f aca="false">I15-I22</f>
        <v>2107241.81</v>
      </c>
      <c r="J23" s="5" t="n">
        <f aca="false">J15-J22</f>
        <v>2137061.43</v>
      </c>
      <c r="K23" s="5" t="n">
        <f aca="false">K15-K22</f>
        <v>2279351.57</v>
      </c>
      <c r="L23" s="5" t="n">
        <f aca="false">L15-L22</f>
        <v>2412578.56</v>
      </c>
      <c r="M23" s="5" t="n">
        <f aca="false">M15-M22</f>
        <v>2483117.35</v>
      </c>
      <c r="N23" s="5" t="n">
        <f aca="false">N15-N22</f>
        <v>2434834.07</v>
      </c>
      <c r="O23" s="5" t="n">
        <f aca="false">O15-O22</f>
        <v>2658185.59</v>
      </c>
      <c r="P23" s="5" t="n">
        <f aca="false">P15-P22</f>
        <v>2587170.11</v>
      </c>
      <c r="Q23" s="5" t="n">
        <f aca="false">Q15-Q22</f>
        <v>2052384.98</v>
      </c>
      <c r="R23" s="5" t="n">
        <f aca="false">R15-R22</f>
        <v>2279541.04</v>
      </c>
      <c r="S23" s="5" t="n">
        <f aca="false">S15-S22</f>
        <v>2445583.6</v>
      </c>
      <c r="T23" s="5" t="n">
        <f aca="false">T15-T22</f>
        <v>2298196.44</v>
      </c>
      <c r="U23" s="5" t="n">
        <f aca="false">U15-U22</f>
        <v>2319424.46</v>
      </c>
      <c r="V23" s="5" t="n">
        <f aca="false">V15-V22</f>
        <v>2671446.27</v>
      </c>
      <c r="W23" s="5" t="n">
        <f aca="false">W15-W22</f>
        <v>2517745.05</v>
      </c>
      <c r="X23" s="5" t="n">
        <f aca="false">SUM(B23:E23)</f>
        <v>8611546.91</v>
      </c>
      <c r="Y23" s="5" t="n">
        <f aca="false">SUM(F23:Q23)</f>
        <v>27094376.34</v>
      </c>
      <c r="Z23" s="5" t="n">
        <f aca="false">SUM(R23:W23)</f>
        <v>14531936.86</v>
      </c>
    </row>
    <row r="25" customFormat="false" ht="15" hidden="false" customHeight="false" outlineLevel="0" collapsed="false">
      <c r="A25" s="1" t="s">
        <v>43</v>
      </c>
      <c r="B25" s="4" t="n">
        <v>199942.98</v>
      </c>
      <c r="C25" s="4" t="n">
        <v>214121.82</v>
      </c>
      <c r="D25" s="4" t="n">
        <v>230220.44</v>
      </c>
      <c r="E25" s="4" t="n">
        <v>201338.95</v>
      </c>
      <c r="F25" s="4" t="n">
        <v>207383.45</v>
      </c>
      <c r="G25" s="4" t="n">
        <v>206310.32</v>
      </c>
      <c r="H25" s="4" t="n">
        <v>218428.2</v>
      </c>
      <c r="I25" s="4" t="n">
        <v>229275.18</v>
      </c>
      <c r="J25" s="4" t="n">
        <v>230171.98</v>
      </c>
      <c r="K25" s="4" t="n">
        <v>235110.62</v>
      </c>
      <c r="L25" s="4" t="n">
        <v>232057.72</v>
      </c>
      <c r="M25" s="4" t="n">
        <v>228759.76</v>
      </c>
      <c r="N25" s="4" t="n">
        <v>238667.79</v>
      </c>
      <c r="O25" s="4" t="n">
        <v>243021.5</v>
      </c>
      <c r="P25" s="4" t="n">
        <v>244254.99</v>
      </c>
      <c r="Q25" s="4" t="n">
        <v>215694.86</v>
      </c>
      <c r="R25" s="4" t="n">
        <v>217395.26</v>
      </c>
      <c r="S25" s="4" t="n">
        <v>228792.19</v>
      </c>
      <c r="T25" s="4" t="n">
        <v>235520.54</v>
      </c>
      <c r="U25" s="4" t="n">
        <v>236128.07</v>
      </c>
      <c r="V25" s="4" t="n">
        <v>248702.72</v>
      </c>
      <c r="W25" s="4" t="n">
        <v>249336.62</v>
      </c>
      <c r="X25" s="5" t="n">
        <f aca="false">SUM(B25:E25)</f>
        <v>845624.19</v>
      </c>
      <c r="Y25" s="5" t="n">
        <f aca="false">SUM(F25:Q25)</f>
        <v>2729136.37</v>
      </c>
      <c r="Z25" s="5" t="n">
        <f aca="false">SUM(R25:W25)</f>
        <v>1415875.4</v>
      </c>
    </row>
    <row r="26" customFormat="false" ht="15" hidden="false" customHeight="false" outlineLevel="0" collapsed="false">
      <c r="A26" s="3" t="s">
        <v>44</v>
      </c>
      <c r="B26" s="5" t="n">
        <f aca="false">B23-B25</f>
        <v>1612922.23</v>
      </c>
      <c r="C26" s="5" t="n">
        <f aca="false">C23-C25</f>
        <v>2031667.55</v>
      </c>
      <c r="D26" s="5" t="n">
        <f aca="false">D23-D25</f>
        <v>2388561.54</v>
      </c>
      <c r="E26" s="5" t="n">
        <f aca="false">E23-E25</f>
        <v>1732771.4</v>
      </c>
      <c r="F26" s="5" t="n">
        <f aca="false">F23-F25</f>
        <v>1846256.98</v>
      </c>
      <c r="G26" s="5" t="n">
        <f aca="false">G23-G25</f>
        <v>1729659.34</v>
      </c>
      <c r="H26" s="5" t="n">
        <f aca="false">H23-H25</f>
        <v>1734412.58</v>
      </c>
      <c r="I26" s="5" t="n">
        <f aca="false">I23-I25</f>
        <v>1877966.63</v>
      </c>
      <c r="J26" s="5" t="n">
        <f aca="false">J23-J25</f>
        <v>1906889.45</v>
      </c>
      <c r="K26" s="5" t="n">
        <f aca="false">K23-K25</f>
        <v>2044240.95</v>
      </c>
      <c r="L26" s="5" t="n">
        <f aca="false">L23-L25</f>
        <v>2180520.84</v>
      </c>
      <c r="M26" s="5" t="n">
        <f aca="false">M23-M25</f>
        <v>2254357.59</v>
      </c>
      <c r="N26" s="5" t="n">
        <f aca="false">N23-N25</f>
        <v>2196166.28</v>
      </c>
      <c r="O26" s="5" t="n">
        <f aca="false">O23-O25</f>
        <v>2415164.09</v>
      </c>
      <c r="P26" s="5" t="n">
        <f aca="false">P23-P25</f>
        <v>2342915.12</v>
      </c>
      <c r="Q26" s="5" t="n">
        <f aca="false">Q23-Q25</f>
        <v>1836690.12</v>
      </c>
      <c r="R26" s="5" t="n">
        <f aca="false">R23-R25</f>
        <v>2062145.78</v>
      </c>
      <c r="S26" s="5" t="n">
        <f aca="false">S23-S25</f>
        <v>2216791.41</v>
      </c>
      <c r="T26" s="5" t="n">
        <f aca="false">T23-T25</f>
        <v>2062675.9</v>
      </c>
      <c r="U26" s="5" t="n">
        <f aca="false">U23-U25</f>
        <v>2083296.39</v>
      </c>
      <c r="V26" s="5" t="n">
        <f aca="false">V23-V25</f>
        <v>2422743.55</v>
      </c>
      <c r="W26" s="5" t="n">
        <f aca="false">W23-W25</f>
        <v>2268408.43</v>
      </c>
      <c r="X26" s="5" t="n">
        <f aca="false">SUM(B26:E26)</f>
        <v>7765922.72</v>
      </c>
      <c r="Y26" s="5" t="n">
        <f aca="false">SUM(F26:Q26)</f>
        <v>24365239.97</v>
      </c>
      <c r="Z26" s="5" t="n">
        <f aca="false">SUM(R26:W26)</f>
        <v>13116061.46</v>
      </c>
    </row>
    <row r="27" customFormat="false" ht="15" hidden="false" customHeight="false" outlineLevel="0" collapsed="false">
      <c r="A27" s="1" t="s">
        <v>45</v>
      </c>
      <c r="B27" s="4" t="n">
        <v>930793.59</v>
      </c>
      <c r="C27" s="4" t="n">
        <v>928932</v>
      </c>
      <c r="D27" s="4" t="n">
        <v>927074.14</v>
      </c>
      <c r="E27" s="4" t="n">
        <v>925219.99</v>
      </c>
      <c r="F27" s="4" t="n">
        <v>940726.12</v>
      </c>
      <c r="G27" s="4" t="n">
        <v>938879.38</v>
      </c>
      <c r="H27" s="4" t="n">
        <v>937036.33</v>
      </c>
      <c r="I27" s="4" t="n">
        <v>935196.97</v>
      </c>
      <c r="J27" s="4" t="n">
        <v>933361.29</v>
      </c>
      <c r="K27" s="4" t="n">
        <v>931529.28</v>
      </c>
      <c r="L27" s="4" t="n">
        <v>929700.94</v>
      </c>
      <c r="M27" s="4" t="n">
        <v>927876.25</v>
      </c>
      <c r="N27" s="4" t="n">
        <v>926055.21</v>
      </c>
      <c r="O27" s="4" t="n">
        <v>924237.81</v>
      </c>
      <c r="P27" s="4" t="n">
        <v>922424.05</v>
      </c>
      <c r="Q27" s="4" t="n">
        <v>920613.92</v>
      </c>
      <c r="R27" s="4" t="n">
        <v>918807.4</v>
      </c>
      <c r="S27" s="4" t="n">
        <v>917004.5</v>
      </c>
      <c r="T27" s="4" t="n">
        <v>915205.2</v>
      </c>
      <c r="U27" s="4" t="n">
        <v>913409.51</v>
      </c>
      <c r="V27" s="4" t="n">
        <v>911617.4</v>
      </c>
      <c r="W27" s="4" t="n">
        <v>909828.88</v>
      </c>
      <c r="X27" s="5" t="n">
        <f aca="false">SUM(B27:E27)</f>
        <v>3712019.72</v>
      </c>
      <c r="Y27" s="5" t="n">
        <f aca="false">SUM(F27:Q27)</f>
        <v>11167637.55</v>
      </c>
      <c r="Z27" s="5" t="n">
        <f aca="false">SUM(R27:W27)</f>
        <v>5485872.89</v>
      </c>
    </row>
    <row r="28" customFormat="false" ht="15" hidden="false" customHeight="false" outlineLevel="0" collapsed="false">
      <c r="A28" s="3" t="s">
        <v>46</v>
      </c>
      <c r="B28" s="5" t="n">
        <f aca="false">B26-B27</f>
        <v>682128.64</v>
      </c>
      <c r="C28" s="5" t="n">
        <f aca="false">C26-C27</f>
        <v>1102735.55</v>
      </c>
      <c r="D28" s="5" t="n">
        <f aca="false">D26-D27</f>
        <v>1461487.4</v>
      </c>
      <c r="E28" s="5" t="n">
        <f aca="false">E26-E27</f>
        <v>807551.41</v>
      </c>
      <c r="F28" s="5" t="n">
        <f aca="false">F26-F27</f>
        <v>905530.860000001</v>
      </c>
      <c r="G28" s="5" t="n">
        <f aca="false">G26-G27</f>
        <v>790779.96</v>
      </c>
      <c r="H28" s="5" t="n">
        <f aca="false">H26-H27</f>
        <v>797376.249999999</v>
      </c>
      <c r="I28" s="5" t="n">
        <f aca="false">I26-I27</f>
        <v>942769.660000001</v>
      </c>
      <c r="J28" s="5" t="n">
        <f aca="false">J26-J27</f>
        <v>973528.159999999</v>
      </c>
      <c r="K28" s="5" t="n">
        <f aca="false">K26-K27</f>
        <v>1112711.67</v>
      </c>
      <c r="L28" s="5" t="n">
        <f aca="false">L26-L27</f>
        <v>1250819.9</v>
      </c>
      <c r="M28" s="5" t="n">
        <f aca="false">M26-M27</f>
        <v>1326481.34</v>
      </c>
      <c r="N28" s="5" t="n">
        <f aca="false">N26-N27</f>
        <v>1270111.07</v>
      </c>
      <c r="O28" s="5" t="n">
        <f aca="false">O26-O27</f>
        <v>1490926.28</v>
      </c>
      <c r="P28" s="5" t="n">
        <f aca="false">P26-P27</f>
        <v>1420491.07</v>
      </c>
      <c r="Q28" s="5" t="n">
        <f aca="false">Q26-Q27</f>
        <v>916076.2</v>
      </c>
      <c r="R28" s="5" t="n">
        <f aca="false">R26-R27</f>
        <v>1143338.38</v>
      </c>
      <c r="S28" s="5" t="n">
        <f aca="false">S26-S27</f>
        <v>1299786.91</v>
      </c>
      <c r="T28" s="5" t="n">
        <f aca="false">T26-T27</f>
        <v>1147470.7</v>
      </c>
      <c r="U28" s="5" t="n">
        <f aca="false">U26-U27</f>
        <v>1169886.88</v>
      </c>
      <c r="V28" s="5" t="n">
        <f aca="false">V26-V27</f>
        <v>1511126.15</v>
      </c>
      <c r="W28" s="5" t="n">
        <f aca="false">W26-W27</f>
        <v>1358579.55</v>
      </c>
      <c r="X28" s="5" t="n">
        <f aca="false">SUM(B28:E28)</f>
        <v>4053903</v>
      </c>
      <c r="Y28" s="5" t="n">
        <f aca="false">SUM(F28:Q28)</f>
        <v>13197602.42</v>
      </c>
      <c r="Z28" s="5" t="n">
        <f aca="false">SUM(R28:W28)</f>
        <v>7630188.57</v>
      </c>
    </row>
    <row r="29" customFormat="false" ht="15" hidden="false" customHeight="false" outlineLevel="0" collapsed="false">
      <c r="A29" s="1" t="s">
        <v>47</v>
      </c>
      <c r="B29" s="4" t="n">
        <v>163710.87</v>
      </c>
      <c r="C29" s="4" t="n">
        <v>264656.53</v>
      </c>
      <c r="D29" s="4" t="n">
        <v>350756.98</v>
      </c>
      <c r="E29" s="4" t="n">
        <v>193812.34</v>
      </c>
      <c r="F29" s="4" t="n">
        <v>217327.41</v>
      </c>
      <c r="G29" s="4" t="n">
        <v>189787.19</v>
      </c>
      <c r="H29" s="4" t="n">
        <v>191370.3</v>
      </c>
      <c r="I29" s="4" t="n">
        <v>226264.72</v>
      </c>
      <c r="J29" s="4" t="n">
        <v>233646.76</v>
      </c>
      <c r="K29" s="4" t="n">
        <v>267050.8</v>
      </c>
      <c r="L29" s="4" t="n">
        <v>300196.78</v>
      </c>
      <c r="M29" s="4" t="n">
        <v>318355.52</v>
      </c>
      <c r="N29" s="4" t="n">
        <v>304826.66</v>
      </c>
      <c r="O29" s="4" t="n">
        <v>357822.31</v>
      </c>
      <c r="P29" s="4" t="n">
        <v>340917.86</v>
      </c>
      <c r="Q29" s="4" t="n">
        <v>219858.29</v>
      </c>
      <c r="R29" s="4" t="n">
        <v>274401.21</v>
      </c>
      <c r="S29" s="4" t="n">
        <v>311948.86</v>
      </c>
      <c r="T29" s="4" t="n">
        <v>275392.97</v>
      </c>
      <c r="U29" s="4" t="n">
        <v>280772.85</v>
      </c>
      <c r="V29" s="4" t="n">
        <v>362670.28</v>
      </c>
      <c r="W29" s="4" t="n">
        <v>326059.09</v>
      </c>
      <c r="X29" s="5" t="n">
        <f aca="false">SUM(B29:E29)</f>
        <v>972936.72</v>
      </c>
      <c r="Y29" s="5" t="n">
        <f aca="false">SUM(F29:Q29)</f>
        <v>3167424.6</v>
      </c>
      <c r="Z29" s="5" t="n">
        <f aca="false">SUM(R29:W29)</f>
        <v>1831245.26</v>
      </c>
    </row>
    <row r="30" customFormat="false" ht="15" hidden="false" customHeight="false" outlineLevel="0" collapsed="false">
      <c r="A30" s="3" t="s">
        <v>48</v>
      </c>
      <c r="B30" s="5" t="n">
        <f aca="false">B28-B29</f>
        <v>518417.77</v>
      </c>
      <c r="C30" s="5" t="n">
        <f aca="false">C28-C29</f>
        <v>838079.019999998</v>
      </c>
      <c r="D30" s="5" t="n">
        <f aca="false">D28-D29</f>
        <v>1110730.42</v>
      </c>
      <c r="E30" s="5" t="n">
        <f aca="false">E28-E29</f>
        <v>613739.07</v>
      </c>
      <c r="F30" s="5" t="n">
        <f aca="false">F28-F29</f>
        <v>688203.450000001</v>
      </c>
      <c r="G30" s="5" t="n">
        <f aca="false">G28-G29</f>
        <v>600992.77</v>
      </c>
      <c r="H30" s="5" t="n">
        <f aca="false">H28-H29</f>
        <v>606005.95</v>
      </c>
      <c r="I30" s="5" t="n">
        <f aca="false">I28-I29</f>
        <v>716504.940000001</v>
      </c>
      <c r="J30" s="5" t="n">
        <f aca="false">J28-J29</f>
        <v>739881.399999999</v>
      </c>
      <c r="K30" s="5" t="n">
        <f aca="false">K28-K29</f>
        <v>845660.87</v>
      </c>
      <c r="L30" s="5" t="n">
        <f aca="false">L28-L29</f>
        <v>950623.12</v>
      </c>
      <c r="M30" s="5" t="n">
        <f aca="false">M28-M29</f>
        <v>1008125.82</v>
      </c>
      <c r="N30" s="5" t="n">
        <f aca="false">N28-N29</f>
        <v>965284.41</v>
      </c>
      <c r="O30" s="5" t="n">
        <f aca="false">O28-O29</f>
        <v>1133103.97</v>
      </c>
      <c r="P30" s="5" t="n">
        <f aca="false">P28-P29</f>
        <v>1079573.21</v>
      </c>
      <c r="Q30" s="5" t="n">
        <f aca="false">Q28-Q29</f>
        <v>696217.91</v>
      </c>
      <c r="R30" s="5" t="n">
        <f aca="false">R28-R29</f>
        <v>868937.17</v>
      </c>
      <c r="S30" s="5" t="n">
        <f aca="false">S28-S29</f>
        <v>987838.050000001</v>
      </c>
      <c r="T30" s="5" t="n">
        <f aca="false">T28-T29</f>
        <v>872077.73</v>
      </c>
      <c r="U30" s="5" t="n">
        <f aca="false">U28-U29</f>
        <v>889114.03</v>
      </c>
      <c r="V30" s="5" t="n">
        <f aca="false">V28-V29</f>
        <v>1148455.87</v>
      </c>
      <c r="W30" s="5" t="n">
        <f aca="false">W28-W29</f>
        <v>1032520.46</v>
      </c>
      <c r="X30" s="5" t="n">
        <f aca="false">SUM(B30:E30)</f>
        <v>3080966.28</v>
      </c>
      <c r="Y30" s="5" t="n">
        <f aca="false">SUM(F30:Q30)</f>
        <v>10030177.82</v>
      </c>
      <c r="Z30" s="5" t="n">
        <f aca="false">SUM(R30:W30)</f>
        <v>5798943.31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6" min="2" style="0" width="15"/>
  </cols>
  <sheetData>
    <row r="1" customFormat="false" ht="15" hidden="false" customHeight="false" outlineLevel="0" collapsed="false">
      <c r="A1" s="0" t="s">
        <v>49</v>
      </c>
    </row>
    <row r="2" customFormat="false" ht="15" hidden="false" customHeight="false" outlineLevel="0" collapsed="false">
      <c r="A2" s="0" t="s">
        <v>50</v>
      </c>
    </row>
    <row r="6" customFormat="false" ht="15" hidden="false" customHeight="false" outlineLevel="0" collapsed="false">
      <c r="A6" s="1" t="s">
        <v>2</v>
      </c>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c r="Z6" s="2" t="s">
        <v>27</v>
      </c>
    </row>
    <row r="7" customFormat="false" ht="15" hidden="false" customHeight="false" outlineLevel="0" collapsed="false">
      <c r="A7" s="1" t="s">
        <v>51</v>
      </c>
      <c r="B7" s="4" t="n">
        <v>5332296.19</v>
      </c>
      <c r="C7" s="4" t="n">
        <v>4643125.66</v>
      </c>
      <c r="D7" s="4" t="n">
        <v>3919081.17</v>
      </c>
      <c r="E7" s="4" t="n">
        <v>6434330.69</v>
      </c>
      <c r="F7" s="4" t="n">
        <v>5418882.01</v>
      </c>
      <c r="G7" s="4" t="n">
        <v>6116765.4</v>
      </c>
      <c r="H7" s="4" t="n">
        <v>5334237.71</v>
      </c>
      <c r="I7" s="4" t="n">
        <v>4731461.63</v>
      </c>
      <c r="J7" s="4" t="n">
        <v>5362438.62</v>
      </c>
      <c r="K7" s="4" t="n">
        <v>5625867.5</v>
      </c>
      <c r="L7" s="4" t="n">
        <v>6521767.64</v>
      </c>
      <c r="M7" s="4" t="n">
        <v>7420793.55</v>
      </c>
      <c r="N7" s="4" t="n">
        <v>7169816.2</v>
      </c>
      <c r="O7" s="4" t="n">
        <v>7975825.25</v>
      </c>
      <c r="P7" s="4" t="n">
        <v>8981045.21</v>
      </c>
      <c r="Q7" s="4" t="n">
        <v>11481954.86</v>
      </c>
      <c r="R7" s="4" t="n">
        <v>12251486.19</v>
      </c>
      <c r="S7" s="4" t="n">
        <v>11897622.51</v>
      </c>
      <c r="T7" s="4" t="n">
        <v>12031256.38</v>
      </c>
      <c r="U7" s="4" t="n">
        <v>12835360.73</v>
      </c>
      <c r="V7" s="4" t="n">
        <v>12538797.93</v>
      </c>
      <c r="W7" s="4" t="n">
        <v>13477929.53</v>
      </c>
      <c r="X7" s="5" t="n">
        <f aca="false">E7</f>
        <v>6434330.69</v>
      </c>
      <c r="Y7" s="5" t="n">
        <f aca="false">Q7</f>
        <v>11481954.86</v>
      </c>
      <c r="Z7" s="5" t="n">
        <f aca="false">W7</f>
        <v>13477929.53</v>
      </c>
    </row>
    <row r="8" customFormat="false" ht="15" hidden="false" customHeight="false" outlineLevel="0" collapsed="false">
      <c r="A8" s="1" t="s">
        <v>52</v>
      </c>
      <c r="B8" s="4" t="n">
        <v>14830585.44</v>
      </c>
      <c r="C8" s="4" t="n">
        <v>16052792.34</v>
      </c>
      <c r="D8" s="4" t="n">
        <v>17573493.22</v>
      </c>
      <c r="E8" s="4" t="n">
        <v>15528452.83</v>
      </c>
      <c r="F8" s="4" t="n">
        <v>15917063.75</v>
      </c>
      <c r="G8" s="4" t="n">
        <v>15579485.83</v>
      </c>
      <c r="H8" s="4" t="n">
        <v>16650700.8</v>
      </c>
      <c r="I8" s="4" t="n">
        <v>17663530.03</v>
      </c>
      <c r="J8" s="4" t="n">
        <v>17535695.01</v>
      </c>
      <c r="K8" s="4" t="n">
        <v>17868407.34</v>
      </c>
      <c r="L8" s="4" t="n">
        <v>17713739.63</v>
      </c>
      <c r="M8" s="4" t="n">
        <v>17623821.48</v>
      </c>
      <c r="N8" s="4" t="n">
        <v>18526807.94</v>
      </c>
      <c r="O8" s="4" t="n">
        <v>18603746</v>
      </c>
      <c r="P8" s="4" t="n">
        <v>18423159.06</v>
      </c>
      <c r="Q8" s="4" t="n">
        <v>16514237.66</v>
      </c>
      <c r="R8" s="4" t="n">
        <v>16389992.37</v>
      </c>
      <c r="S8" s="4" t="n">
        <v>17444133.31</v>
      </c>
      <c r="T8" s="4" t="n">
        <v>17880370.68</v>
      </c>
      <c r="U8" s="4" t="n">
        <v>17715727.02</v>
      </c>
      <c r="V8" s="4" t="n">
        <v>18889432.01</v>
      </c>
      <c r="W8" s="4" t="n">
        <v>18721486.62</v>
      </c>
      <c r="X8" s="5" t="n">
        <f aca="false">E8</f>
        <v>15528452.83</v>
      </c>
      <c r="Y8" s="5" t="n">
        <f aca="false">Q8</f>
        <v>16514237.66</v>
      </c>
      <c r="Z8" s="5" t="n">
        <f aca="false">W8</f>
        <v>18721486.62</v>
      </c>
    </row>
    <row r="9" customFormat="false" ht="15" hidden="false" customHeight="false" outlineLevel="0" collapsed="false">
      <c r="A9" s="1" t="s">
        <v>53</v>
      </c>
      <c r="B9" s="4" t="n">
        <v>8052703.53</v>
      </c>
      <c r="C9" s="4" t="n">
        <v>8484041.91</v>
      </c>
      <c r="D9" s="4" t="n">
        <v>8968237.06</v>
      </c>
      <c r="E9" s="4" t="n">
        <v>7979062.53</v>
      </c>
      <c r="F9" s="4" t="n">
        <v>8308817.88</v>
      </c>
      <c r="G9" s="4" t="n">
        <v>8347831.45</v>
      </c>
      <c r="H9" s="4" t="n">
        <v>9056033.19</v>
      </c>
      <c r="I9" s="4" t="n">
        <v>9648472.95</v>
      </c>
      <c r="J9" s="4" t="n">
        <v>9615434.52</v>
      </c>
      <c r="K9" s="4" t="n">
        <v>9691259.88</v>
      </c>
      <c r="L9" s="4" t="n">
        <v>9415742.17</v>
      </c>
      <c r="M9" s="4" t="n">
        <v>9057170.86</v>
      </c>
      <c r="N9" s="4" t="n">
        <v>9710795.58</v>
      </c>
      <c r="O9" s="4" t="n">
        <v>9791336.31</v>
      </c>
      <c r="P9" s="4" t="n">
        <v>9916142.11</v>
      </c>
      <c r="Q9" s="4" t="n">
        <v>8745348.14</v>
      </c>
      <c r="R9" s="4" t="n">
        <v>8649613.96</v>
      </c>
      <c r="S9" s="4" t="n">
        <v>9109932.96</v>
      </c>
      <c r="T9" s="4" t="n">
        <v>9692259.13</v>
      </c>
      <c r="U9" s="4" t="n">
        <v>9804037.43</v>
      </c>
      <c r="V9" s="4" t="n">
        <v>10089247.52</v>
      </c>
      <c r="W9" s="4" t="n">
        <v>10287005.78</v>
      </c>
      <c r="X9" s="5" t="n">
        <f aca="false">E9</f>
        <v>7979062.53</v>
      </c>
      <c r="Y9" s="5" t="n">
        <f aca="false">Q9</f>
        <v>8745348.14</v>
      </c>
      <c r="Z9" s="5" t="n">
        <f aca="false">W9</f>
        <v>10287005.78</v>
      </c>
    </row>
    <row r="10" customFormat="false" ht="15" hidden="false" customHeight="false" outlineLevel="0" collapsed="false">
      <c r="A10" s="1" t="s">
        <v>54</v>
      </c>
      <c r="B10" s="4" t="n">
        <v>13351762.36</v>
      </c>
      <c r="C10" s="4" t="n">
        <v>13399344.99</v>
      </c>
      <c r="D10" s="4" t="n">
        <v>13450505.08</v>
      </c>
      <c r="E10" s="4" t="n">
        <v>13495247.07</v>
      </c>
      <c r="F10" s="4" t="n">
        <v>13541332.28</v>
      </c>
      <c r="G10" s="4" t="n">
        <v>13587179.02</v>
      </c>
      <c r="H10" s="4" t="n">
        <v>13635718.62</v>
      </c>
      <c r="I10" s="4" t="n">
        <v>13686668.67</v>
      </c>
      <c r="J10" s="4" t="n">
        <v>13737818</v>
      </c>
      <c r="K10" s="4" t="n">
        <v>13790064.81</v>
      </c>
      <c r="L10" s="4" t="n">
        <v>13841633.2</v>
      </c>
      <c r="M10" s="4" t="n">
        <v>13892468.7</v>
      </c>
      <c r="N10" s="4" t="n">
        <v>13945505.98</v>
      </c>
      <c r="O10" s="4" t="n">
        <v>13999510.76</v>
      </c>
      <c r="P10" s="4" t="n">
        <v>14053789.65</v>
      </c>
      <c r="Q10" s="4" t="n">
        <v>14101721.84</v>
      </c>
      <c r="R10" s="4" t="n">
        <v>14150031.9</v>
      </c>
      <c r="S10" s="4" t="n">
        <v>14200874.61</v>
      </c>
      <c r="T10" s="4" t="n">
        <v>14253212.51</v>
      </c>
      <c r="U10" s="4" t="n">
        <v>14305685.41</v>
      </c>
      <c r="V10" s="4" t="n">
        <v>14360952.68</v>
      </c>
      <c r="W10" s="4" t="n">
        <v>14416360.82</v>
      </c>
      <c r="X10" s="5" t="n">
        <f aca="false">E10</f>
        <v>13495247.07</v>
      </c>
      <c r="Y10" s="5" t="n">
        <f aca="false">Q10</f>
        <v>14101721.84</v>
      </c>
      <c r="Z10" s="5" t="n">
        <f aca="false">W10</f>
        <v>14416360.82</v>
      </c>
    </row>
    <row r="11" customFormat="false" ht="15" hidden="false" customHeight="false" outlineLevel="0" collapsed="false">
      <c r="A11" s="3" t="s">
        <v>55</v>
      </c>
      <c r="B11" s="5" t="n">
        <f aca="false">SUM(B7:B10)</f>
        <v>41567347.52</v>
      </c>
      <c r="C11" s="5" t="n">
        <f aca="false">SUM(C7:C10)</f>
        <v>42579304.9</v>
      </c>
      <c r="D11" s="5" t="n">
        <f aca="false">SUM(D7:D10)</f>
        <v>43911316.53</v>
      </c>
      <c r="E11" s="5" t="n">
        <f aca="false">SUM(E7:E10)</f>
        <v>43437093.12</v>
      </c>
      <c r="F11" s="5" t="n">
        <f aca="false">SUM(F7:F10)</f>
        <v>43186095.92</v>
      </c>
      <c r="G11" s="5" t="n">
        <f aca="false">SUM(G7:G10)</f>
        <v>43631261.7</v>
      </c>
      <c r="H11" s="5" t="n">
        <f aca="false">SUM(H7:H10)</f>
        <v>44676690.32</v>
      </c>
      <c r="I11" s="5" t="n">
        <f aca="false">SUM(I7:I10)</f>
        <v>45730133.28</v>
      </c>
      <c r="J11" s="5" t="n">
        <f aca="false">SUM(J7:J10)</f>
        <v>46251386.15</v>
      </c>
      <c r="K11" s="5" t="n">
        <f aca="false">SUM(K7:K10)</f>
        <v>46975599.53</v>
      </c>
      <c r="L11" s="5" t="n">
        <f aca="false">SUM(L7:L10)</f>
        <v>47492882.64</v>
      </c>
      <c r="M11" s="5" t="n">
        <f aca="false">SUM(M7:M10)</f>
        <v>47994254.59</v>
      </c>
      <c r="N11" s="5" t="n">
        <f aca="false">SUM(N7:N10)</f>
        <v>49352925.7</v>
      </c>
      <c r="O11" s="5" t="n">
        <f aca="false">SUM(O7:O10)</f>
        <v>50370418.32</v>
      </c>
      <c r="P11" s="5" t="n">
        <f aca="false">SUM(P7:P10)</f>
        <v>51374136.03</v>
      </c>
      <c r="Q11" s="5" t="n">
        <f aca="false">SUM(Q7:Q10)</f>
        <v>50843262.5</v>
      </c>
      <c r="R11" s="5" t="n">
        <f aca="false">SUM(R7:R10)</f>
        <v>51441124.42</v>
      </c>
      <c r="S11" s="5" t="n">
        <f aca="false">SUM(S7:S10)</f>
        <v>52652563.39</v>
      </c>
      <c r="T11" s="5" t="n">
        <f aca="false">SUM(T7:T10)</f>
        <v>53857098.7</v>
      </c>
      <c r="U11" s="5" t="n">
        <f aca="false">SUM(U7:U10)</f>
        <v>54660810.59</v>
      </c>
      <c r="V11" s="5" t="n">
        <f aca="false">SUM(V7:V10)</f>
        <v>55878430.14</v>
      </c>
      <c r="W11" s="5" t="n">
        <f aca="false">SUM(W7:W10)</f>
        <v>56902782.75</v>
      </c>
      <c r="X11" s="5" t="n">
        <f aca="false">E11</f>
        <v>43437093.12</v>
      </c>
      <c r="Y11" s="5" t="n">
        <f aca="false">Q11</f>
        <v>50843262.5</v>
      </c>
      <c r="Z11" s="5" t="n">
        <f aca="false">W11</f>
        <v>56902782.75</v>
      </c>
    </row>
    <row r="13" customFormat="false" ht="15" hidden="false" customHeight="false" outlineLevel="0" collapsed="false">
      <c r="A13" s="1" t="s">
        <v>56</v>
      </c>
      <c r="B13" s="4" t="n">
        <v>7157958.7</v>
      </c>
      <c r="C13" s="4" t="n">
        <v>7541370.59</v>
      </c>
      <c r="D13" s="4" t="n">
        <v>7971766.27</v>
      </c>
      <c r="E13" s="4" t="n">
        <v>7092500.03</v>
      </c>
      <c r="F13" s="4" t="n">
        <v>7385615.89</v>
      </c>
      <c r="G13" s="4" t="n">
        <v>7420294.62</v>
      </c>
      <c r="H13" s="4" t="n">
        <v>8049807.28</v>
      </c>
      <c r="I13" s="4" t="n">
        <v>8576420.4</v>
      </c>
      <c r="J13" s="4" t="n">
        <v>8547052.91</v>
      </c>
      <c r="K13" s="4" t="n">
        <v>8614453.22</v>
      </c>
      <c r="L13" s="4" t="n">
        <v>8369548.6</v>
      </c>
      <c r="M13" s="4" t="n">
        <v>8050818.54</v>
      </c>
      <c r="N13" s="4" t="n">
        <v>8631818.29</v>
      </c>
      <c r="O13" s="4" t="n">
        <v>8703410.05</v>
      </c>
      <c r="P13" s="4" t="n">
        <v>8814348.54</v>
      </c>
      <c r="Q13" s="4" t="n">
        <v>7773642.79</v>
      </c>
      <c r="R13" s="4" t="n">
        <v>7688545.74</v>
      </c>
      <c r="S13" s="4" t="n">
        <v>8097718.19</v>
      </c>
      <c r="T13" s="4" t="n">
        <v>8615341.45</v>
      </c>
      <c r="U13" s="4" t="n">
        <v>8714699.94</v>
      </c>
      <c r="V13" s="4" t="n">
        <v>8968220.02</v>
      </c>
      <c r="W13" s="4" t="n">
        <v>9144005.14</v>
      </c>
      <c r="X13" s="5" t="n">
        <f aca="false">E13</f>
        <v>7092500.03</v>
      </c>
      <c r="Y13" s="5" t="n">
        <f aca="false">Q13</f>
        <v>7773642.79</v>
      </c>
      <c r="Z13" s="5" t="n">
        <f aca="false">W13</f>
        <v>9144005.14</v>
      </c>
    </row>
    <row r="14" customFormat="false" ht="15" hidden="false" customHeight="false" outlineLevel="0" collapsed="false">
      <c r="A14" s="1" t="s">
        <v>57</v>
      </c>
      <c r="B14" s="4" t="n">
        <v>104766766.97</v>
      </c>
      <c r="C14" s="4" t="n">
        <v>104557233.44</v>
      </c>
      <c r="D14" s="4" t="n">
        <v>104348118.97</v>
      </c>
      <c r="E14" s="4" t="n">
        <v>104139422.73</v>
      </c>
      <c r="F14" s="4" t="n">
        <v>103931143.88</v>
      </c>
      <c r="G14" s="4" t="n">
        <v>103723281.59</v>
      </c>
      <c r="H14" s="4" t="n">
        <v>103515835.03</v>
      </c>
      <c r="I14" s="4" t="n">
        <v>103308803.36</v>
      </c>
      <c r="J14" s="4" t="n">
        <v>103102185.75</v>
      </c>
      <c r="K14" s="4" t="n">
        <v>102895981.38</v>
      </c>
      <c r="L14" s="4" t="n">
        <v>102690189.42</v>
      </c>
      <c r="M14" s="4" t="n">
        <v>102484809.04</v>
      </c>
      <c r="N14" s="4" t="n">
        <v>102279839.42</v>
      </c>
      <c r="O14" s="4" t="n">
        <v>102075279.74</v>
      </c>
      <c r="P14" s="4" t="n">
        <v>101871129.18</v>
      </c>
      <c r="Q14" s="4" t="n">
        <v>101667386.92</v>
      </c>
      <c r="R14" s="4" t="n">
        <v>101464052.15</v>
      </c>
      <c r="S14" s="4" t="n">
        <v>101261124.05</v>
      </c>
      <c r="T14" s="4" t="n">
        <v>101058601.8</v>
      </c>
      <c r="U14" s="4" t="n">
        <v>100856484.6</v>
      </c>
      <c r="V14" s="4" t="n">
        <v>100654771.63</v>
      </c>
      <c r="W14" s="4" t="n">
        <v>100453462.09</v>
      </c>
      <c r="X14" s="5" t="n">
        <f aca="false">E14</f>
        <v>104139422.73</v>
      </c>
      <c r="Y14" s="5" t="n">
        <f aca="false">Q14</f>
        <v>101667386.92</v>
      </c>
      <c r="Z14" s="5" t="n">
        <f aca="false">W14</f>
        <v>100453462.09</v>
      </c>
    </row>
    <row r="15" customFormat="false" ht="15" hidden="false" customHeight="false" outlineLevel="0" collapsed="false">
      <c r="A15" s="3" t="s">
        <v>58</v>
      </c>
      <c r="B15" s="5" t="n">
        <f aca="false">SUM(B13:B14)-B19</f>
        <v>111924725.67</v>
      </c>
      <c r="C15" s="5" t="n">
        <f aca="false">SUM(C13:C14)-C19</f>
        <v>112098604.03</v>
      </c>
      <c r="D15" s="5" t="n">
        <f aca="false">SUM(D13:D14)-D19</f>
        <v>112319885.24</v>
      </c>
      <c r="E15" s="5" t="n">
        <f aca="false">SUM(E13:E14)-E19</f>
        <v>111231922.76</v>
      </c>
      <c r="F15" s="5" t="n">
        <f aca="false">SUM(F13:F14)-F19</f>
        <v>110292722.11</v>
      </c>
      <c r="G15" s="5" t="n">
        <f aca="false">SUM(G13:G14)-G19</f>
        <v>110136895.12</v>
      </c>
      <c r="H15" s="5" t="n">
        <f aca="false">SUM(H13:H14)-H19</f>
        <v>110576317.79</v>
      </c>
      <c r="I15" s="5" t="n">
        <f aca="false">SUM(I13:I14)-I19</f>
        <v>110913255.81</v>
      </c>
      <c r="J15" s="5" t="n">
        <f aca="false">SUM(J13:J14)-J19</f>
        <v>110694627.28</v>
      </c>
      <c r="K15" s="5" t="n">
        <f aca="false">SUM(K13:K14)-K19</f>
        <v>110573179.79</v>
      </c>
      <c r="L15" s="5" t="n">
        <f aca="false">SUM(L13:L14)-L19</f>
        <v>110139839.78</v>
      </c>
      <c r="M15" s="5" t="n">
        <f aca="false">SUM(M13:M14)-M19</f>
        <v>109633085.91</v>
      </c>
      <c r="N15" s="5" t="n">
        <f aca="false">SUM(N13:N14)-N19</f>
        <v>110026472.61</v>
      </c>
      <c r="O15" s="5" t="n">
        <f aca="false">SUM(O13:O14)-O19</f>
        <v>109910861.26</v>
      </c>
      <c r="P15" s="5" t="n">
        <f aca="false">SUM(P13:P14)-P19</f>
        <v>109835005.76</v>
      </c>
      <c r="Q15" s="5" t="n">
        <f aca="false">SUM(Q13:Q14)-Q19</f>
        <v>108607914.32</v>
      </c>
      <c r="R15" s="5" t="n">
        <f aca="false">SUM(R13:R14)-R19</f>
        <v>108336839.07</v>
      </c>
      <c r="S15" s="5" t="n">
        <f aca="false">SUM(S13:S14)-S19</f>
        <v>108560439.99</v>
      </c>
      <c r="T15" s="5" t="n">
        <f aca="false">SUM(T13:T14)-T19</f>
        <v>108892897.57</v>
      </c>
      <c r="U15" s="5" t="n">
        <f aca="false">SUM(U13:U14)-U19</f>
        <v>108807495.43</v>
      </c>
      <c r="V15" s="5" t="n">
        <f aca="false">SUM(V13:V14)-V19</f>
        <v>108876659.11</v>
      </c>
      <c r="W15" s="5" t="n">
        <f aca="false">SUM(W13:W14)-W19</f>
        <v>108868491.26</v>
      </c>
      <c r="X15" s="5" t="n">
        <f aca="false">E15</f>
        <v>111231922.76</v>
      </c>
      <c r="Y15" s="5" t="n">
        <f aca="false">Q15</f>
        <v>108607914.32</v>
      </c>
      <c r="Z15" s="5" t="n">
        <f aca="false">W15</f>
        <v>108868491.26</v>
      </c>
    </row>
    <row r="16" customFormat="false" ht="15" hidden="false" customHeight="false" outlineLevel="0" collapsed="false">
      <c r="A16" s="1" t="s">
        <v>59</v>
      </c>
      <c r="B16" s="4" t="n">
        <v>-70357378.15</v>
      </c>
      <c r="C16" s="4" t="n">
        <v>-69519299.13</v>
      </c>
      <c r="D16" s="4" t="n">
        <v>-68408568.71</v>
      </c>
      <c r="E16" s="4" t="n">
        <v>-67794829.64</v>
      </c>
      <c r="F16" s="4" t="n">
        <v>-67106626.19</v>
      </c>
      <c r="G16" s="4" t="n">
        <v>-66505633.42</v>
      </c>
      <c r="H16" s="4" t="n">
        <v>-65899627.47</v>
      </c>
      <c r="I16" s="4" t="n">
        <v>-65183122.53</v>
      </c>
      <c r="J16" s="4" t="n">
        <v>-64443241.13</v>
      </c>
      <c r="K16" s="4" t="n">
        <v>-63597580.26</v>
      </c>
      <c r="L16" s="4" t="n">
        <v>-62646957.14</v>
      </c>
      <c r="M16" s="4" t="n">
        <v>-61638831.32</v>
      </c>
      <c r="N16" s="4" t="n">
        <v>-60673546.91</v>
      </c>
      <c r="O16" s="4" t="n">
        <v>-59540442.94</v>
      </c>
      <c r="P16" s="4" t="n">
        <v>-58460869.73</v>
      </c>
      <c r="Q16" s="4" t="n">
        <v>-57764651.82</v>
      </c>
      <c r="R16" s="4" t="n">
        <v>-56895714.65</v>
      </c>
      <c r="S16" s="4" t="n">
        <v>-55907876.6</v>
      </c>
      <c r="T16" s="4" t="n">
        <v>-55035798.87</v>
      </c>
      <c r="U16" s="4" t="n">
        <v>-54146684.84</v>
      </c>
      <c r="V16" s="4" t="n">
        <v>-52998228.97</v>
      </c>
      <c r="W16" s="4" t="n">
        <v>-51965708.51</v>
      </c>
      <c r="X16" s="5" t="n">
        <f aca="false">E16</f>
        <v>-67794829.64</v>
      </c>
      <c r="Y16" s="5" t="n">
        <f aca="false">Q16</f>
        <v>-57764651.82</v>
      </c>
      <c r="Z16" s="5" t="n">
        <f aca="false">W16</f>
        <v>-51965708.51</v>
      </c>
    </row>
    <row r="17" customFormat="false" ht="15" hidden="false" customHeight="false" outlineLevel="0" collapsed="false">
      <c r="A17" s="3" t="s">
        <v>60</v>
      </c>
      <c r="B17" s="5" t="n">
        <f aca="false">B15+B16</f>
        <v>41567347.52</v>
      </c>
      <c r="C17" s="5" t="n">
        <f aca="false">C15+C16</f>
        <v>42579304.9</v>
      </c>
      <c r="D17" s="5" t="n">
        <f aca="false">D15+D16</f>
        <v>43911316.53</v>
      </c>
      <c r="E17" s="5" t="n">
        <f aca="false">E15+E16</f>
        <v>43437093.12</v>
      </c>
      <c r="F17" s="5" t="n">
        <f aca="false">F15+F16</f>
        <v>43186095.92</v>
      </c>
      <c r="G17" s="5" t="n">
        <f aca="false">G15+G16</f>
        <v>43631261.7</v>
      </c>
      <c r="H17" s="5" t="n">
        <f aca="false">H15+H16</f>
        <v>44676690.32</v>
      </c>
      <c r="I17" s="5" t="n">
        <f aca="false">I15+I16</f>
        <v>45730133.28</v>
      </c>
      <c r="J17" s="5" t="n">
        <f aca="false">J15+J16</f>
        <v>46251386.15</v>
      </c>
      <c r="K17" s="5" t="n">
        <f aca="false">K15+K16</f>
        <v>46975599.53</v>
      </c>
      <c r="L17" s="5" t="n">
        <f aca="false">L15+L16</f>
        <v>47492882.64</v>
      </c>
      <c r="M17" s="5" t="n">
        <f aca="false">M15+M16</f>
        <v>47994254.59</v>
      </c>
      <c r="N17" s="5" t="n">
        <f aca="false">N15+N16</f>
        <v>49352925.7</v>
      </c>
      <c r="O17" s="5" t="n">
        <f aca="false">O15+O16</f>
        <v>50370418.32</v>
      </c>
      <c r="P17" s="5" t="n">
        <f aca="false">P15+P16</f>
        <v>51374136.03</v>
      </c>
      <c r="Q17" s="5" t="n">
        <f aca="false">Q15+Q16</f>
        <v>50843262.5</v>
      </c>
      <c r="R17" s="5" t="n">
        <f aca="false">R15+R16</f>
        <v>51441124.42</v>
      </c>
      <c r="S17" s="5" t="n">
        <f aca="false">S15+S16</f>
        <v>52652563.39</v>
      </c>
      <c r="T17" s="5" t="n">
        <f aca="false">T15+T16</f>
        <v>53857098.7</v>
      </c>
      <c r="U17" s="5" t="n">
        <f aca="false">U15+U16</f>
        <v>54660810.59</v>
      </c>
      <c r="V17" s="5" t="n">
        <f aca="false">V15+V16</f>
        <v>55878430.14</v>
      </c>
      <c r="W17" s="5" t="n">
        <f aca="false">W15+W16</f>
        <v>56902782.75</v>
      </c>
      <c r="X17" s="5" t="n">
        <f aca="false">E17</f>
        <v>43437093.12</v>
      </c>
      <c r="Y17" s="5" t="n">
        <f aca="false">Q17</f>
        <v>50843262.5</v>
      </c>
      <c r="Z17" s="5" t="n">
        <f aca="false">W17</f>
        <v>56902782.75</v>
      </c>
    </row>
    <row r="19" customFormat="false" ht="15" hidden="false" customHeight="false" outlineLevel="0" collapsed="false">
      <c r="A19" s="1" t="s">
        <v>61</v>
      </c>
      <c r="B19" s="4" t="n">
        <v>0</v>
      </c>
      <c r="C19" s="4" t="n">
        <v>0</v>
      </c>
      <c r="D19" s="4" t="n">
        <v>0</v>
      </c>
      <c r="E19" s="4" t="n">
        <v>0</v>
      </c>
      <c r="F19" s="4" t="n">
        <v>1024037.66</v>
      </c>
      <c r="G19" s="4" t="n">
        <v>1006681.09</v>
      </c>
      <c r="H19" s="4" t="n">
        <v>989324.52</v>
      </c>
      <c r="I19" s="4" t="n">
        <v>971967.95</v>
      </c>
      <c r="J19" s="4" t="n">
        <v>954611.38</v>
      </c>
      <c r="K19" s="4" t="n">
        <v>937254.81</v>
      </c>
      <c r="L19" s="4" t="n">
        <v>919898.24</v>
      </c>
      <c r="M19" s="4" t="n">
        <v>902541.67</v>
      </c>
      <c r="N19" s="4" t="n">
        <v>885185.1</v>
      </c>
      <c r="O19" s="4" t="n">
        <v>867828.53</v>
      </c>
      <c r="P19" s="4" t="n">
        <v>850471.96</v>
      </c>
      <c r="Q19" s="4" t="n">
        <v>833115.39</v>
      </c>
      <c r="R19" s="4" t="n">
        <v>815758.82</v>
      </c>
      <c r="S19" s="4" t="n">
        <v>798402.25</v>
      </c>
      <c r="T19" s="4" t="n">
        <v>781045.68</v>
      </c>
      <c r="U19" s="4" t="n">
        <v>763689.11</v>
      </c>
      <c r="V19" s="4" t="n">
        <v>746332.54</v>
      </c>
      <c r="W19" s="4" t="n">
        <v>728975.97</v>
      </c>
      <c r="X19" s="5" t="n">
        <f aca="false">E19</f>
        <v>0</v>
      </c>
      <c r="Y19" s="5" t="n">
        <f aca="false">Q19</f>
        <v>833115.39</v>
      </c>
      <c r="Z19" s="5" t="n">
        <f aca="false">W19</f>
        <v>728975.97</v>
      </c>
    </row>
    <row r="21" customFormat="false" ht="15" hidden="false" customHeight="false" outlineLevel="0" collapsed="false">
      <c r="A21" s="3" t="s">
        <v>62</v>
      </c>
      <c r="B21" s="5" t="n">
        <f aca="false">B11-B17</f>
        <v>0</v>
      </c>
      <c r="C21" s="5" t="n">
        <f aca="false">C11-C17</f>
        <v>0</v>
      </c>
      <c r="D21" s="5" t="n">
        <f aca="false">D11-D17</f>
        <v>0</v>
      </c>
      <c r="E21" s="5" t="n">
        <f aca="false">E11-E17</f>
        <v>0</v>
      </c>
      <c r="F21" s="5" t="n">
        <f aca="false">F11-F17</f>
        <v>0</v>
      </c>
      <c r="G21" s="5" t="n">
        <f aca="false">G11-G17</f>
        <v>0</v>
      </c>
      <c r="H21" s="5" t="n">
        <f aca="false">H11-H17</f>
        <v>0</v>
      </c>
      <c r="I21" s="5" t="n">
        <f aca="false">I11-I17</f>
        <v>0</v>
      </c>
      <c r="J21" s="5" t="n">
        <f aca="false">J11-J17</f>
        <v>0</v>
      </c>
      <c r="K21" s="5" t="n">
        <f aca="false">K11-K17</f>
        <v>0</v>
      </c>
      <c r="L21" s="5" t="n">
        <f aca="false">L11-L17</f>
        <v>0</v>
      </c>
      <c r="M21" s="5" t="n">
        <f aca="false">M11-M17</f>
        <v>0</v>
      </c>
      <c r="N21" s="5" t="n">
        <f aca="false">N11-N17</f>
        <v>0</v>
      </c>
      <c r="O21" s="5" t="n">
        <f aca="false">O11-O17</f>
        <v>0</v>
      </c>
      <c r="P21" s="5" t="n">
        <f aca="false">P11-P17</f>
        <v>0</v>
      </c>
      <c r="Q21" s="5" t="n">
        <f aca="false">Q11-Q17</f>
        <v>0</v>
      </c>
      <c r="R21" s="5" t="n">
        <f aca="false">R11-R17</f>
        <v>0</v>
      </c>
      <c r="S21" s="5" t="n">
        <f aca="false">S11-S17</f>
        <v>0</v>
      </c>
      <c r="T21" s="5" t="n">
        <f aca="false">T11-T17</f>
        <v>0</v>
      </c>
      <c r="U21" s="5" t="n">
        <f aca="false">U11-U17</f>
        <v>0</v>
      </c>
      <c r="V21" s="5" t="n">
        <f aca="false">V11-V17</f>
        <v>0</v>
      </c>
      <c r="W21" s="5" t="n">
        <f aca="false">W11-W17</f>
        <v>0</v>
      </c>
      <c r="X21" s="5" t="n">
        <f aca="false">E21</f>
        <v>0</v>
      </c>
      <c r="Y21" s="5" t="n">
        <f aca="false">Q21</f>
        <v>0</v>
      </c>
      <c r="Z21" s="5" t="n">
        <f aca="false">W21</f>
        <v>0</v>
      </c>
    </row>
    <row r="23" customFormat="false" ht="15" hidden="false" customHeight="false" outlineLevel="0" collapsed="false">
      <c r="A23" s="3" t="s">
        <v>63</v>
      </c>
    </row>
    <row r="24" customFormat="false" ht="15" hidden="false" customHeight="false" outlineLevel="0" collapsed="false">
      <c r="A24" s="1" t="s">
        <v>64</v>
      </c>
      <c r="B24" s="4" t="n">
        <v>104976720.41</v>
      </c>
      <c r="C24" s="4" t="n">
        <v>104766766.97</v>
      </c>
      <c r="D24" s="4" t="n">
        <v>104557233.44</v>
      </c>
      <c r="E24" s="4" t="n">
        <v>104348118.97</v>
      </c>
      <c r="F24" s="4" t="n">
        <v>104139422.73</v>
      </c>
      <c r="G24" s="4" t="n">
        <v>103931143.88</v>
      </c>
      <c r="H24" s="4" t="n">
        <v>103723281.59</v>
      </c>
      <c r="I24" s="4" t="n">
        <v>103515835.03</v>
      </c>
      <c r="J24" s="4" t="n">
        <v>103308803.36</v>
      </c>
      <c r="K24" s="4" t="n">
        <v>103102185.75</v>
      </c>
      <c r="L24" s="4" t="n">
        <v>102895981.38</v>
      </c>
      <c r="M24" s="4" t="n">
        <v>102690189.42</v>
      </c>
      <c r="N24" s="4" t="n">
        <v>102484809.04</v>
      </c>
      <c r="O24" s="4" t="n">
        <v>102279839.42</v>
      </c>
      <c r="P24" s="4" t="n">
        <v>102075279.74</v>
      </c>
      <c r="Q24" s="4" t="n">
        <v>101871129.18</v>
      </c>
      <c r="R24" s="4" t="n">
        <v>101667386.92</v>
      </c>
      <c r="S24" s="4" t="n">
        <v>101464052.15</v>
      </c>
      <c r="T24" s="4" t="n">
        <v>101261124.05</v>
      </c>
      <c r="U24" s="4" t="n">
        <v>101058601.8</v>
      </c>
      <c r="V24" s="4" t="n">
        <v>100856484.6</v>
      </c>
      <c r="W24" s="4" t="n">
        <v>100654771.63</v>
      </c>
      <c r="X24" s="5" t="n">
        <f aca="false">B24</f>
        <v>104976720.41</v>
      </c>
      <c r="Y24" s="5" t="n">
        <f aca="false">F24</f>
        <v>104139422.73</v>
      </c>
      <c r="Z24" s="5" t="n">
        <f aca="false">R24</f>
        <v>101667386.92</v>
      </c>
    </row>
    <row r="25" customFormat="false" ht="15" hidden="false" customHeight="false" outlineLevel="0" collapsed="false">
      <c r="A25" s="1" t="s">
        <v>65</v>
      </c>
      <c r="B25" s="4" t="n">
        <v>0</v>
      </c>
      <c r="C25" s="4" t="n">
        <v>0</v>
      </c>
      <c r="D25" s="4" t="n">
        <v>0</v>
      </c>
      <c r="E25" s="4" t="n">
        <v>0</v>
      </c>
      <c r="F25" s="4" t="n">
        <v>0</v>
      </c>
      <c r="G25" s="4" t="n">
        <v>0</v>
      </c>
      <c r="H25" s="4" t="n">
        <v>0</v>
      </c>
      <c r="I25" s="4" t="n">
        <v>0</v>
      </c>
      <c r="J25" s="4" t="n">
        <v>0</v>
      </c>
      <c r="K25" s="4" t="n">
        <v>0</v>
      </c>
      <c r="L25" s="4" t="n">
        <v>0</v>
      </c>
      <c r="M25" s="4" t="n">
        <v>0</v>
      </c>
      <c r="N25" s="4" t="n">
        <v>0</v>
      </c>
      <c r="O25" s="4" t="n">
        <v>0</v>
      </c>
      <c r="P25" s="4" t="n">
        <v>0</v>
      </c>
      <c r="Q25" s="4" t="n">
        <v>0</v>
      </c>
      <c r="R25" s="4" t="n">
        <v>0</v>
      </c>
      <c r="S25" s="4" t="n">
        <v>0</v>
      </c>
      <c r="T25" s="4" t="n">
        <v>0</v>
      </c>
      <c r="U25" s="4" t="n">
        <v>0</v>
      </c>
      <c r="V25" s="4" t="n">
        <v>0</v>
      </c>
      <c r="W25" s="4" t="n">
        <v>0</v>
      </c>
      <c r="X25" s="5" t="n">
        <f aca="false">SUM(B25:E25)</f>
        <v>0</v>
      </c>
      <c r="Y25" s="5" t="n">
        <f aca="false">SUM(F25:Q25)</f>
        <v>0</v>
      </c>
      <c r="Z25" s="5" t="n">
        <f aca="false">SUM(R25:W25)</f>
        <v>0</v>
      </c>
    </row>
    <row r="26" customFormat="false" ht="15" hidden="false" customHeight="false" outlineLevel="0" collapsed="false">
      <c r="A26" s="1" t="s">
        <v>66</v>
      </c>
      <c r="B26" s="4" t="n">
        <v>0</v>
      </c>
      <c r="C26" s="4" t="n">
        <v>0</v>
      </c>
      <c r="D26" s="4" t="n">
        <v>0</v>
      </c>
      <c r="E26" s="4" t="n">
        <v>0</v>
      </c>
      <c r="F26" s="4" t="n">
        <v>0</v>
      </c>
      <c r="G26" s="4" t="n">
        <v>0</v>
      </c>
      <c r="H26" s="4" t="n">
        <v>0</v>
      </c>
      <c r="I26" s="4" t="n">
        <v>0</v>
      </c>
      <c r="J26" s="4" t="n">
        <v>0</v>
      </c>
      <c r="K26" s="4" t="n">
        <v>0</v>
      </c>
      <c r="L26" s="4" t="n">
        <v>0</v>
      </c>
      <c r="M26" s="4" t="n">
        <v>0</v>
      </c>
      <c r="N26" s="4" t="n">
        <v>0</v>
      </c>
      <c r="O26" s="4" t="n">
        <v>0</v>
      </c>
      <c r="P26" s="4" t="n">
        <v>0</v>
      </c>
      <c r="Q26" s="4" t="n">
        <v>0</v>
      </c>
      <c r="R26" s="4" t="n">
        <v>0</v>
      </c>
      <c r="S26" s="4" t="n">
        <v>0</v>
      </c>
      <c r="T26" s="4" t="n">
        <v>0</v>
      </c>
      <c r="U26" s="4" t="n">
        <v>0</v>
      </c>
      <c r="V26" s="4" t="n">
        <v>0</v>
      </c>
      <c r="W26" s="4" t="n">
        <v>0</v>
      </c>
      <c r="X26" s="5" t="n">
        <f aca="false">SUM(B26:E26)</f>
        <v>0</v>
      </c>
      <c r="Y26" s="5" t="n">
        <f aca="false">SUM(F26:Q26)</f>
        <v>0</v>
      </c>
      <c r="Z26" s="5" t="n">
        <f aca="false">SUM(R26:W26)</f>
        <v>0</v>
      </c>
    </row>
    <row r="27" customFormat="false" ht="15" hidden="false" customHeight="false" outlineLevel="0" collapsed="false">
      <c r="A27" s="1" t="s">
        <v>67</v>
      </c>
      <c r="B27" s="4" t="n">
        <v>209953.44</v>
      </c>
      <c r="C27" s="4" t="n">
        <v>209533.53</v>
      </c>
      <c r="D27" s="4" t="n">
        <v>209114.47</v>
      </c>
      <c r="E27" s="4" t="n">
        <v>208696.24</v>
      </c>
      <c r="F27" s="4" t="n">
        <v>208278.85</v>
      </c>
      <c r="G27" s="4" t="n">
        <v>207862.29</v>
      </c>
      <c r="H27" s="4" t="n">
        <v>207446.56</v>
      </c>
      <c r="I27" s="4" t="n">
        <v>207031.67</v>
      </c>
      <c r="J27" s="4" t="n">
        <v>206617.61</v>
      </c>
      <c r="K27" s="4" t="n">
        <v>206204.37</v>
      </c>
      <c r="L27" s="4" t="n">
        <v>205791.96</v>
      </c>
      <c r="M27" s="4" t="n">
        <v>205380.38</v>
      </c>
      <c r="N27" s="4" t="n">
        <v>204969.62</v>
      </c>
      <c r="O27" s="4" t="n">
        <v>204559.68</v>
      </c>
      <c r="P27" s="4" t="n">
        <v>204150.56</v>
      </c>
      <c r="Q27" s="4" t="n">
        <v>203742.26</v>
      </c>
      <c r="R27" s="4" t="n">
        <v>203334.77</v>
      </c>
      <c r="S27" s="4" t="n">
        <v>202928.1</v>
      </c>
      <c r="T27" s="4" t="n">
        <v>202522.25</v>
      </c>
      <c r="U27" s="4" t="n">
        <v>202117.2</v>
      </c>
      <c r="V27" s="4" t="n">
        <v>201712.97</v>
      </c>
      <c r="W27" s="4" t="n">
        <v>201309.54</v>
      </c>
      <c r="X27" s="5" t="n">
        <f aca="false">SUM(B27:E27)</f>
        <v>837297.68</v>
      </c>
      <c r="Y27" s="5" t="n">
        <f aca="false">SUM(F27:Q27)</f>
        <v>2472035.81</v>
      </c>
      <c r="Z27" s="5" t="n">
        <f aca="false">SUM(R27:W27)</f>
        <v>1213924.83</v>
      </c>
    </row>
    <row r="28" customFormat="false" ht="15" hidden="false" customHeight="false" outlineLevel="0" collapsed="false">
      <c r="A28" s="3" t="s">
        <v>68</v>
      </c>
      <c r="B28" s="5" t="n">
        <f aca="false">B24+B25+B26-B27</f>
        <v>104766766.97</v>
      </c>
      <c r="C28" s="5" t="n">
        <f aca="false">C24+C25+C26-C27</f>
        <v>104557233.44</v>
      </c>
      <c r="D28" s="5" t="n">
        <f aca="false">D24+D25+D26-D27</f>
        <v>104348118.97</v>
      </c>
      <c r="E28" s="5" t="n">
        <f aca="false">E24+E25+E26-E27</f>
        <v>104139422.73</v>
      </c>
      <c r="F28" s="5" t="n">
        <f aca="false">F24+F25+F26-F27</f>
        <v>103931143.88</v>
      </c>
      <c r="G28" s="5" t="n">
        <f aca="false">G24+G25+G26-G27</f>
        <v>103723281.59</v>
      </c>
      <c r="H28" s="5" t="n">
        <f aca="false">H24+H25+H26-H27</f>
        <v>103515835.03</v>
      </c>
      <c r="I28" s="5" t="n">
        <f aca="false">I24+I25+I26-I27</f>
        <v>103308803.36</v>
      </c>
      <c r="J28" s="5" t="n">
        <f aca="false">J24+J25+J26-J27</f>
        <v>103102185.75</v>
      </c>
      <c r="K28" s="5" t="n">
        <f aca="false">K24+K25+K26-K27</f>
        <v>102895981.38</v>
      </c>
      <c r="L28" s="5" t="n">
        <f aca="false">L24+L25+L26-L27</f>
        <v>102690189.42</v>
      </c>
      <c r="M28" s="5" t="n">
        <f aca="false">M24+M25+M26-M27</f>
        <v>102484809.04</v>
      </c>
      <c r="N28" s="5" t="n">
        <f aca="false">N24+N25+N26-N27</f>
        <v>102279839.42</v>
      </c>
      <c r="O28" s="5" t="n">
        <f aca="false">O24+O25+O26-O27</f>
        <v>102075279.74</v>
      </c>
      <c r="P28" s="5" t="n">
        <f aca="false">P24+P25+P26-P27</f>
        <v>101871129.18</v>
      </c>
      <c r="Q28" s="5" t="n">
        <f aca="false">Q24+Q25+Q26-Q27</f>
        <v>101667386.92</v>
      </c>
      <c r="R28" s="5" t="n">
        <f aca="false">R24+R25+R26-R27</f>
        <v>101464052.15</v>
      </c>
      <c r="S28" s="5" t="n">
        <f aca="false">S24+S25+S26-S27</f>
        <v>101261124.05</v>
      </c>
      <c r="T28" s="5" t="n">
        <f aca="false">T24+T25+T26-T27</f>
        <v>101058601.8</v>
      </c>
      <c r="U28" s="5" t="n">
        <f aca="false">U24+U25+U26-U27</f>
        <v>100856484.6</v>
      </c>
      <c r="V28" s="5" t="n">
        <f aca="false">V24+V25+V26-V27</f>
        <v>100654771.63</v>
      </c>
      <c r="W28" s="5" t="n">
        <f aca="false">W24+W25+W26-W27</f>
        <v>100453462.09</v>
      </c>
      <c r="X28" s="5" t="n">
        <f aca="false">E28</f>
        <v>104139422.73</v>
      </c>
      <c r="Y28" s="5" t="n">
        <f aca="false">Q28</f>
        <v>101667386.92</v>
      </c>
      <c r="Z28" s="5" t="n">
        <f aca="false">W28</f>
        <v>100453462.09</v>
      </c>
    </row>
    <row r="29" customFormat="false" ht="15" hidden="false" customHeight="false" outlineLevel="0" collapsed="false">
      <c r="A29" s="1" t="s">
        <v>69</v>
      </c>
      <c r="B29" s="4" t="n">
        <v>930793.59</v>
      </c>
      <c r="C29" s="4" t="n">
        <v>928932</v>
      </c>
      <c r="D29" s="4" t="n">
        <v>927074.14</v>
      </c>
      <c r="E29" s="4" t="n">
        <v>925219.99</v>
      </c>
      <c r="F29" s="4" t="n">
        <v>923369.55</v>
      </c>
      <c r="G29" s="4" t="n">
        <v>921522.81</v>
      </c>
      <c r="H29" s="4" t="n">
        <v>919679.76</v>
      </c>
      <c r="I29" s="4" t="n">
        <v>917840.4</v>
      </c>
      <c r="J29" s="4" t="n">
        <v>916004.72</v>
      </c>
      <c r="K29" s="4" t="n">
        <v>914172.71</v>
      </c>
      <c r="L29" s="4" t="n">
        <v>912344.37</v>
      </c>
      <c r="M29" s="4" t="n">
        <v>910519.68</v>
      </c>
      <c r="N29" s="4" t="n">
        <v>908698.64</v>
      </c>
      <c r="O29" s="4" t="n">
        <v>906881.24</v>
      </c>
      <c r="P29" s="4" t="n">
        <v>905067.48</v>
      </c>
      <c r="Q29" s="4" t="n">
        <v>903257.35</v>
      </c>
      <c r="R29" s="4" t="n">
        <v>901450.83</v>
      </c>
      <c r="S29" s="4" t="n">
        <v>899647.93</v>
      </c>
      <c r="T29" s="4" t="n">
        <v>897848.63</v>
      </c>
      <c r="U29" s="4" t="n">
        <v>896052.94</v>
      </c>
      <c r="V29" s="4" t="n">
        <v>894260.83</v>
      </c>
      <c r="W29" s="4" t="n">
        <v>892472.31</v>
      </c>
      <c r="X29" s="5" t="n">
        <f aca="false">SUM(B29:E29)</f>
        <v>3712019.72</v>
      </c>
      <c r="Y29" s="5" t="n">
        <f aca="false">SUM(F29:Q29)</f>
        <v>10959358.71</v>
      </c>
      <c r="Z29" s="5" t="n">
        <f aca="false">SUM(R29:W29)</f>
        <v>5381733.47</v>
      </c>
    </row>
    <row r="31" customFormat="false" ht="15" hidden="false" customHeight="false" outlineLevel="0" collapsed="false">
      <c r="A31" s="3" t="s">
        <v>70</v>
      </c>
    </row>
    <row r="32" customFormat="false" ht="15" hidden="false" customHeight="false" outlineLevel="0" collapsed="false">
      <c r="A32" s="1" t="s">
        <v>71</v>
      </c>
      <c r="B32" s="4" t="n">
        <v>930793.59</v>
      </c>
      <c r="C32" s="4" t="n">
        <v>928932</v>
      </c>
      <c r="D32" s="4" t="n">
        <v>927074.14</v>
      </c>
      <c r="E32" s="4" t="n">
        <v>925219.99</v>
      </c>
      <c r="F32" s="4" t="n">
        <v>923369.55</v>
      </c>
      <c r="G32" s="4" t="n">
        <v>921522.81</v>
      </c>
      <c r="H32" s="4" t="n">
        <v>919679.76</v>
      </c>
      <c r="I32" s="4" t="n">
        <v>917840.4</v>
      </c>
      <c r="J32" s="4" t="n">
        <v>916004.72</v>
      </c>
      <c r="K32" s="4" t="n">
        <v>914172.71</v>
      </c>
      <c r="L32" s="4" t="n">
        <v>912344.37</v>
      </c>
      <c r="M32" s="4" t="n">
        <v>910519.68</v>
      </c>
      <c r="N32" s="4" t="n">
        <v>908698.64</v>
      </c>
      <c r="O32" s="4" t="n">
        <v>906881.24</v>
      </c>
      <c r="P32" s="4" t="n">
        <v>905067.48</v>
      </c>
      <c r="Q32" s="4" t="n">
        <v>903257.35</v>
      </c>
      <c r="R32" s="4" t="n">
        <v>901450.83</v>
      </c>
      <c r="S32" s="4" t="n">
        <v>899647.93</v>
      </c>
      <c r="T32" s="4" t="n">
        <v>897848.63</v>
      </c>
      <c r="U32" s="4" t="n">
        <v>896052.94</v>
      </c>
      <c r="V32" s="4" t="n">
        <v>894260.83</v>
      </c>
      <c r="W32" s="4" t="n">
        <v>892472.31</v>
      </c>
      <c r="X32" s="5" t="n">
        <f aca="false">SUM(B32:E32)</f>
        <v>3712019.72</v>
      </c>
      <c r="Y32" s="5" t="n">
        <f aca="false">SUM(F32:Q32)</f>
        <v>10959358.71</v>
      </c>
      <c r="Z32" s="5" t="n">
        <f aca="false">SUM(R32:W32)</f>
        <v>5381733.47</v>
      </c>
    </row>
    <row r="33" customFormat="false" ht="15" hidden="false" customHeight="false" outlineLevel="0" collapsed="false">
      <c r="A33" s="1" t="s">
        <v>72</v>
      </c>
      <c r="B33" s="4" t="n">
        <v>209953.44</v>
      </c>
      <c r="C33" s="4" t="n">
        <v>209533.53</v>
      </c>
      <c r="D33" s="4" t="n">
        <v>209114.47</v>
      </c>
      <c r="E33" s="4" t="n">
        <v>208696.24</v>
      </c>
      <c r="F33" s="4" t="n">
        <v>208278.85</v>
      </c>
      <c r="G33" s="4" t="n">
        <v>207862.29</v>
      </c>
      <c r="H33" s="4" t="n">
        <v>207446.56</v>
      </c>
      <c r="I33" s="4" t="n">
        <v>207031.67</v>
      </c>
      <c r="J33" s="4" t="n">
        <v>206617.61</v>
      </c>
      <c r="K33" s="4" t="n">
        <v>206204.37</v>
      </c>
      <c r="L33" s="4" t="n">
        <v>205791.96</v>
      </c>
      <c r="M33" s="4" t="n">
        <v>205380.38</v>
      </c>
      <c r="N33" s="4" t="n">
        <v>204969.62</v>
      </c>
      <c r="O33" s="4" t="n">
        <v>204559.68</v>
      </c>
      <c r="P33" s="4" t="n">
        <v>204150.56</v>
      </c>
      <c r="Q33" s="4" t="n">
        <v>203742.26</v>
      </c>
      <c r="R33" s="4" t="n">
        <v>203334.77</v>
      </c>
      <c r="S33" s="4" t="n">
        <v>202928.1</v>
      </c>
      <c r="T33" s="4" t="n">
        <v>202522.25</v>
      </c>
      <c r="U33" s="4" t="n">
        <v>202117.2</v>
      </c>
      <c r="V33" s="4" t="n">
        <v>201712.97</v>
      </c>
      <c r="W33" s="4" t="n">
        <v>201309.54</v>
      </c>
      <c r="X33" s="5" t="n">
        <f aca="false">SUM(B33:E33)</f>
        <v>837297.68</v>
      </c>
      <c r="Y33" s="5" t="n">
        <f aca="false">SUM(F33:Q33)</f>
        <v>2472035.81</v>
      </c>
      <c r="Z33" s="5" t="n">
        <f aca="false">SUM(R33:W33)</f>
        <v>1213924.83</v>
      </c>
    </row>
    <row r="34" customFormat="false" ht="15" hidden="false" customHeight="false" outlineLevel="0" collapsed="false">
      <c r="A34" s="1" t="s">
        <v>73</v>
      </c>
      <c r="B34" s="4" t="n">
        <v>23317.1</v>
      </c>
      <c r="C34" s="4" t="n">
        <v>18653.68</v>
      </c>
      <c r="D34" s="4" t="n">
        <v>20985.39</v>
      </c>
      <c r="E34" s="4" t="n">
        <v>23317.1</v>
      </c>
      <c r="F34" s="4" t="n">
        <v>18653.68</v>
      </c>
      <c r="G34" s="4" t="n">
        <v>20985.39</v>
      </c>
      <c r="H34" s="4" t="n">
        <v>23317.1</v>
      </c>
      <c r="I34" s="4" t="n">
        <v>18653.68</v>
      </c>
      <c r="J34" s="4" t="n">
        <v>20985.39</v>
      </c>
      <c r="K34" s="4" t="n">
        <v>23317.1</v>
      </c>
      <c r="L34" s="4" t="n">
        <v>18653.68</v>
      </c>
      <c r="M34" s="4" t="n">
        <v>20985.39</v>
      </c>
      <c r="N34" s="4" t="n">
        <v>23317.1</v>
      </c>
      <c r="O34" s="4" t="n">
        <v>18653.68</v>
      </c>
      <c r="P34" s="4" t="n">
        <v>20985.39</v>
      </c>
      <c r="Q34" s="4" t="n">
        <v>23317.1</v>
      </c>
      <c r="R34" s="4" t="n">
        <v>18653.68</v>
      </c>
      <c r="S34" s="4" t="n">
        <v>20985.39</v>
      </c>
      <c r="T34" s="4" t="n">
        <v>23317.1</v>
      </c>
      <c r="U34" s="4" t="n">
        <v>18653.68</v>
      </c>
      <c r="V34" s="4" t="n">
        <v>20985.39</v>
      </c>
      <c r="W34" s="4" t="n">
        <v>23317.1</v>
      </c>
      <c r="X34" s="5" t="n">
        <f aca="false">SUM(B34:E34)</f>
        <v>86273.27</v>
      </c>
      <c r="Y34" s="5" t="n">
        <f aca="false">SUM(F34:Q34)</f>
        <v>251824.68</v>
      </c>
      <c r="Z34" s="5" t="n">
        <f aca="false">SUM(R34:W34)</f>
        <v>125912.34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6" min="2" style="0" width="15"/>
  </cols>
  <sheetData>
    <row r="1" customFormat="false" ht="15" hidden="false" customHeight="false" outlineLevel="0" collapsed="false">
      <c r="A1" s="0" t="s">
        <v>74</v>
      </c>
    </row>
    <row r="2" customFormat="false" ht="15" hidden="false" customHeight="false" outlineLevel="0" collapsed="false">
      <c r="A2" s="0" t="s">
        <v>75</v>
      </c>
    </row>
    <row r="6" customFormat="false" ht="15" hidden="false" customHeight="false" outlineLevel="0" collapsed="false">
      <c r="A6" s="1" t="s">
        <v>2</v>
      </c>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c r="Z6" s="2" t="s">
        <v>27</v>
      </c>
    </row>
    <row r="7" customFormat="false" ht="15" hidden="false" customHeight="false" outlineLevel="0" collapsed="false">
      <c r="A7" s="1" t="s">
        <v>76</v>
      </c>
      <c r="B7" s="4" t="n">
        <v>5515532.68</v>
      </c>
      <c r="C7" s="4" t="n">
        <v>5332296.19</v>
      </c>
      <c r="D7" s="4" t="n">
        <v>4643125.66</v>
      </c>
      <c r="E7" s="4" t="n">
        <v>3919081.17</v>
      </c>
      <c r="F7" s="4" t="n">
        <v>6434330.69</v>
      </c>
      <c r="G7" s="4" t="n">
        <v>5418882.01</v>
      </c>
      <c r="H7" s="4" t="n">
        <v>6116765.4</v>
      </c>
      <c r="I7" s="4" t="n">
        <v>5334237.71</v>
      </c>
      <c r="J7" s="4" t="n">
        <v>4731461.63</v>
      </c>
      <c r="K7" s="4" t="n">
        <v>5362438.62</v>
      </c>
      <c r="L7" s="4" t="n">
        <v>5625867.5</v>
      </c>
      <c r="M7" s="4" t="n">
        <v>6521767.64</v>
      </c>
      <c r="N7" s="4" t="n">
        <v>7420793.55</v>
      </c>
      <c r="O7" s="4" t="n">
        <v>7169816.2</v>
      </c>
      <c r="P7" s="4" t="n">
        <v>7975825.25</v>
      </c>
      <c r="Q7" s="4" t="n">
        <v>8981045.21</v>
      </c>
      <c r="R7" s="4" t="n">
        <v>11481954.86</v>
      </c>
      <c r="S7" s="4" t="n">
        <v>12251486.19</v>
      </c>
      <c r="T7" s="4" t="n">
        <v>11897622.51</v>
      </c>
      <c r="U7" s="4" t="n">
        <v>12031256.38</v>
      </c>
      <c r="V7" s="4" t="n">
        <v>12835360.73</v>
      </c>
      <c r="W7" s="4" t="n">
        <v>12538797.93</v>
      </c>
      <c r="X7" s="5" t="n">
        <f aca="false">B7</f>
        <v>5515532.68</v>
      </c>
      <c r="Y7" s="5" t="n">
        <f aca="false">F7</f>
        <v>6434330.69</v>
      </c>
      <c r="Z7" s="5" t="n">
        <f aca="false">R7</f>
        <v>11481954.86</v>
      </c>
    </row>
    <row r="8" customFormat="false" ht="15" hidden="false" customHeight="false" outlineLevel="0" collapsed="false">
      <c r="A8" s="3" t="s">
        <v>77</v>
      </c>
      <c r="B8" s="5" t="n">
        <f aca="false">SUM(B14:B16)-B17</f>
        <v>271091.7</v>
      </c>
      <c r="C8" s="5" t="n">
        <f aca="false">SUM(C14:C16)-C17</f>
        <v>-217932.55</v>
      </c>
      <c r="D8" s="5" t="n">
        <f aca="false">SUM(D14:D16)-D17</f>
        <v>-233549.49</v>
      </c>
      <c r="E8" s="5" t="n">
        <f aca="false">SUM(E14:E16)-E17</f>
        <v>2970026.7</v>
      </c>
      <c r="F8" s="5" t="n">
        <f aca="false">SUM(F14:F16)-F17</f>
        <v>487693.06</v>
      </c>
      <c r="G8" s="5" t="n">
        <f aca="false">SUM(G14:G16)-G17</f>
        <v>1157902.74</v>
      </c>
      <c r="H8" s="5" t="n">
        <f aca="false">SUM(H14:H16)-H17</f>
        <v>-308113.33</v>
      </c>
      <c r="I8" s="5" t="n">
        <f aca="false">SUM(I14:I16)-I17</f>
        <v>-115519.18</v>
      </c>
      <c r="J8" s="5" t="n">
        <f aca="false">SUM(J14:J16)-J17</f>
        <v>1118915.91</v>
      </c>
      <c r="K8" s="5" t="n">
        <f aca="false">SUM(K14:K16)-K17</f>
        <v>756990.68</v>
      </c>
      <c r="L8" s="5" t="n">
        <f aca="false">SUM(L14:L16)-L17</f>
        <v>1385318.21</v>
      </c>
      <c r="M8" s="5" t="n">
        <f aca="false">SUM(M14:M16)-M17</f>
        <v>1384001.55</v>
      </c>
      <c r="N8" s="5" t="n">
        <f aca="false">SUM(N14:N16)-N17</f>
        <v>245697.34</v>
      </c>
      <c r="O8" s="5" t="n">
        <f aca="false">SUM(O14:O16)-O17</f>
        <v>1307595.01</v>
      </c>
      <c r="P8" s="5" t="n">
        <f aca="false">SUM(P14:P16)-P17</f>
        <v>1507904.4</v>
      </c>
      <c r="Q8" s="5" t="n">
        <f aca="false">SUM(Q14:Q16)-Q17</f>
        <v>2968278.96</v>
      </c>
      <c r="R8" s="5" t="n">
        <f aca="false">SUM(R14:R16)-R17</f>
        <v>1238571.42</v>
      </c>
      <c r="S8" s="5" t="n">
        <f aca="false">SUM(S14:S16)-S17</f>
        <v>128699.32</v>
      </c>
      <c r="T8" s="5" t="n">
        <f aca="false">SUM(T14:T16)-T17</f>
        <v>624014.56</v>
      </c>
      <c r="U8" s="5" t="n">
        <f aca="false">SUM(U14:U16)-U17</f>
        <v>1294822.52</v>
      </c>
      <c r="V8" s="5" t="n">
        <f aca="false">SUM(V14:V16)-V17</f>
        <v>209120.16</v>
      </c>
      <c r="W8" s="5" t="n">
        <f aca="false">SUM(W14:W16)-W17</f>
        <v>1445185.9</v>
      </c>
      <c r="X8" s="5" t="n">
        <f aca="false">SUM(B8:E8)</f>
        <v>2789636.36</v>
      </c>
      <c r="Y8" s="5" t="n">
        <f aca="false">SUM(F8:Q8)</f>
        <v>11896665.35</v>
      </c>
      <c r="Z8" s="5" t="n">
        <f aca="false">SUM(R8:W8)</f>
        <v>4940413.88</v>
      </c>
    </row>
    <row r="9" customFormat="false" ht="15" hidden="false" customHeight="false" outlineLevel="0" collapsed="false">
      <c r="A9" s="1" t="s">
        <v>78</v>
      </c>
      <c r="B9" s="4" t="n">
        <v>-244374.75</v>
      </c>
      <c r="C9" s="4" t="n">
        <v>-261704.45</v>
      </c>
      <c r="D9" s="4" t="n">
        <v>-281380.53</v>
      </c>
      <c r="E9" s="4" t="n">
        <v>-246080.94</v>
      </c>
      <c r="F9" s="4" t="n">
        <v>-253468.66</v>
      </c>
      <c r="G9" s="4" t="n">
        <v>-252157.06</v>
      </c>
      <c r="H9" s="4" t="n">
        <v>-266967.8</v>
      </c>
      <c r="I9" s="4" t="n">
        <v>-280225.23</v>
      </c>
      <c r="J9" s="4" t="n">
        <v>-281321.31</v>
      </c>
      <c r="K9" s="4" t="n">
        <v>-287357.43</v>
      </c>
      <c r="L9" s="4" t="n">
        <v>-283626.11</v>
      </c>
      <c r="M9" s="4" t="n">
        <v>-279595.26</v>
      </c>
      <c r="N9" s="4" t="n">
        <v>-291705.07</v>
      </c>
      <c r="O9" s="4" t="n">
        <v>-297026.28</v>
      </c>
      <c r="P9" s="4" t="n">
        <v>-298533.88</v>
      </c>
      <c r="Q9" s="4" t="n">
        <v>-263627.05</v>
      </c>
      <c r="R9" s="4" t="n">
        <v>-265705.32</v>
      </c>
      <c r="S9" s="4" t="n">
        <v>-279634.9</v>
      </c>
      <c r="T9" s="4" t="n">
        <v>-287858.44</v>
      </c>
      <c r="U9" s="4" t="n">
        <v>-288600.97</v>
      </c>
      <c r="V9" s="4" t="n">
        <v>-303969.99</v>
      </c>
      <c r="W9" s="4" t="n">
        <v>-304744.76</v>
      </c>
      <c r="X9" s="5" t="n">
        <f aca="false">SUM(B9:E9)</f>
        <v>-1033540.67</v>
      </c>
      <c r="Y9" s="5" t="n">
        <f aca="false">SUM(F9:Q9)</f>
        <v>-3335611.14</v>
      </c>
      <c r="Z9" s="5" t="n">
        <f aca="false">SUM(R9:W9)</f>
        <v>-1730514.38</v>
      </c>
    </row>
    <row r="10" customFormat="false" ht="15" hidden="false" customHeight="false" outlineLevel="0" collapsed="false">
      <c r="A10" s="3" t="s">
        <v>79</v>
      </c>
      <c r="B10" s="5" t="n">
        <f aca="false">B19-B20-B21-B22</f>
        <v>-209953.44</v>
      </c>
      <c r="C10" s="5" t="n">
        <f aca="false">C19-C20-C21-C22</f>
        <v>-209533.53</v>
      </c>
      <c r="D10" s="5" t="n">
        <f aca="false">D19-D20-D21-D22</f>
        <v>-209114.47</v>
      </c>
      <c r="E10" s="5" t="n">
        <f aca="false">E19-E20-E21-E22</f>
        <v>-208696.24</v>
      </c>
      <c r="F10" s="5" t="n">
        <f aca="false">F19-F20-F21-F22</f>
        <v>-1249673.08</v>
      </c>
      <c r="G10" s="5" t="n">
        <f aca="false">G19-G20-G21-G22</f>
        <v>-207862.29</v>
      </c>
      <c r="H10" s="5" t="n">
        <f aca="false">H19-H20-H21-H22</f>
        <v>-207446.56</v>
      </c>
      <c r="I10" s="5" t="n">
        <f aca="false">I19-I20-I21-I22</f>
        <v>-207031.67</v>
      </c>
      <c r="J10" s="5" t="n">
        <f aca="false">J19-J20-J21-J22</f>
        <v>-206617.61</v>
      </c>
      <c r="K10" s="5" t="n">
        <f aca="false">K19-K20-K21-K22</f>
        <v>-206204.37</v>
      </c>
      <c r="L10" s="5" t="n">
        <f aca="false">L19-L20-L21-L22</f>
        <v>-205791.96</v>
      </c>
      <c r="M10" s="5" t="n">
        <f aca="false">M19-M20-M21-M22</f>
        <v>-205380.38</v>
      </c>
      <c r="N10" s="5" t="n">
        <f aca="false">N19-N20-N21-N22</f>
        <v>-204969.62</v>
      </c>
      <c r="O10" s="5" t="n">
        <f aca="false">O19-O20-O21-O22</f>
        <v>-204559.68</v>
      </c>
      <c r="P10" s="5" t="n">
        <f aca="false">P19-P20-P21-P22</f>
        <v>-204150.56</v>
      </c>
      <c r="Q10" s="5" t="n">
        <f aca="false">Q19-Q20-Q21-Q22</f>
        <v>-203742.26</v>
      </c>
      <c r="R10" s="5" t="n">
        <f aca="false">R19-R20-R21-R22</f>
        <v>-203334.77</v>
      </c>
      <c r="S10" s="5" t="n">
        <f aca="false">S19-S20-S21-S22</f>
        <v>-202928.1</v>
      </c>
      <c r="T10" s="5" t="n">
        <f aca="false">T19-T20-T21-T22</f>
        <v>-202522.25</v>
      </c>
      <c r="U10" s="5" t="n">
        <f aca="false">U19-U20-U21-U22</f>
        <v>-202117.2</v>
      </c>
      <c r="V10" s="5" t="n">
        <f aca="false">V19-V20-V21-V22</f>
        <v>-201712.97</v>
      </c>
      <c r="W10" s="5" t="n">
        <f aca="false">W19-W20-W21-W22</f>
        <v>-201309.54</v>
      </c>
      <c r="X10" s="5" t="n">
        <f aca="false">SUM(B10:E10)</f>
        <v>-837297.68</v>
      </c>
      <c r="Y10" s="5" t="n">
        <f aca="false">SUM(F10:Q10)</f>
        <v>-3513430.04</v>
      </c>
      <c r="Z10" s="5" t="n">
        <f aca="false">SUM(R10:W10)</f>
        <v>-1213924.83</v>
      </c>
    </row>
    <row r="11" customFormat="false" ht="15" hidden="false" customHeight="false" outlineLevel="0" collapsed="false">
      <c r="A11" s="3" t="s">
        <v>80</v>
      </c>
      <c r="B11" s="5" t="n">
        <f aca="false">SUM(B8:B10)</f>
        <v>-183236.49</v>
      </c>
      <c r="C11" s="5" t="n">
        <f aca="false">SUM(C8:C10)</f>
        <v>-689170.53</v>
      </c>
      <c r="D11" s="5" t="n">
        <f aca="false">SUM(D8:D10)</f>
        <v>-724044.49</v>
      </c>
      <c r="E11" s="5" t="n">
        <f aca="false">SUM(E8:E10)</f>
        <v>2515249.52</v>
      </c>
      <c r="F11" s="5" t="n">
        <f aca="false">SUM(F8:F10)</f>
        <v>-1015448.68</v>
      </c>
      <c r="G11" s="5" t="n">
        <f aca="false">SUM(G8:G10)</f>
        <v>697883.39</v>
      </c>
      <c r="H11" s="5" t="n">
        <f aca="false">SUM(H8:H10)</f>
        <v>-782527.69</v>
      </c>
      <c r="I11" s="5" t="n">
        <f aca="false">SUM(I8:I10)</f>
        <v>-602776.08</v>
      </c>
      <c r="J11" s="5" t="n">
        <f aca="false">SUM(J8:J10)</f>
        <v>630976.99</v>
      </c>
      <c r="K11" s="5" t="n">
        <f aca="false">SUM(K8:K10)</f>
        <v>263428.88</v>
      </c>
      <c r="L11" s="5" t="n">
        <f aca="false">SUM(L8:L10)</f>
        <v>895900.14</v>
      </c>
      <c r="M11" s="5" t="n">
        <f aca="false">SUM(M8:M10)</f>
        <v>899025.91</v>
      </c>
      <c r="N11" s="5" t="n">
        <f aca="false">SUM(N8:N10)</f>
        <v>-250977.35</v>
      </c>
      <c r="O11" s="5" t="n">
        <f aca="false">SUM(O8:O10)</f>
        <v>806009.05</v>
      </c>
      <c r="P11" s="5" t="n">
        <f aca="false">SUM(P8:P10)</f>
        <v>1005219.96</v>
      </c>
      <c r="Q11" s="5" t="n">
        <f aca="false">SUM(Q8:Q10)</f>
        <v>2500909.65</v>
      </c>
      <c r="R11" s="5" t="n">
        <f aca="false">SUM(R8:R10)</f>
        <v>769531.33</v>
      </c>
      <c r="S11" s="5" t="n">
        <f aca="false">SUM(S8:S10)</f>
        <v>-353863.68</v>
      </c>
      <c r="T11" s="5" t="n">
        <f aca="false">SUM(T8:T10)</f>
        <v>133633.87</v>
      </c>
      <c r="U11" s="5" t="n">
        <f aca="false">SUM(U8:U10)</f>
        <v>804104.35</v>
      </c>
      <c r="V11" s="5" t="n">
        <f aca="false">SUM(V8:V10)</f>
        <v>-296562.8</v>
      </c>
      <c r="W11" s="5" t="n">
        <f aca="false">SUM(W8:W10)</f>
        <v>939131.6</v>
      </c>
      <c r="X11" s="5" t="n">
        <f aca="false">SUM(B11:E11)</f>
        <v>918798.01</v>
      </c>
      <c r="Y11" s="5" t="n">
        <f aca="false">SUM(F11:Q11)</f>
        <v>5047624.17</v>
      </c>
      <c r="Z11" s="5" t="n">
        <f aca="false">SUM(R11:W11)</f>
        <v>1995974.67</v>
      </c>
    </row>
    <row r="12" customFormat="false" ht="15" hidden="false" customHeight="false" outlineLevel="0" collapsed="false">
      <c r="A12" s="3" t="s">
        <v>81</v>
      </c>
      <c r="B12" s="5" t="n">
        <f aca="false">B7+B11</f>
        <v>5332296.19</v>
      </c>
      <c r="C12" s="5" t="n">
        <f aca="false">C7+C11</f>
        <v>4643125.66</v>
      </c>
      <c r="D12" s="5" t="n">
        <f aca="false">D7+D11</f>
        <v>3919081.17</v>
      </c>
      <c r="E12" s="5" t="n">
        <f aca="false">E7+E11</f>
        <v>6434330.69</v>
      </c>
      <c r="F12" s="5" t="n">
        <f aca="false">F7+F11</f>
        <v>5418882.01</v>
      </c>
      <c r="G12" s="5" t="n">
        <f aca="false">G7+G11</f>
        <v>6116765.4</v>
      </c>
      <c r="H12" s="5" t="n">
        <f aca="false">H7+H11</f>
        <v>5334237.71</v>
      </c>
      <c r="I12" s="5" t="n">
        <f aca="false">I7+I11</f>
        <v>4731461.63</v>
      </c>
      <c r="J12" s="5" t="n">
        <f aca="false">J7+J11</f>
        <v>5362438.62</v>
      </c>
      <c r="K12" s="5" t="n">
        <f aca="false">K7+K11</f>
        <v>5625867.5</v>
      </c>
      <c r="L12" s="5" t="n">
        <f aca="false">L7+L11</f>
        <v>6521767.64</v>
      </c>
      <c r="M12" s="5" t="n">
        <f aca="false">M7+M11</f>
        <v>7420793.55</v>
      </c>
      <c r="N12" s="5" t="n">
        <f aca="false">N7+N11</f>
        <v>7169816.2</v>
      </c>
      <c r="O12" s="5" t="n">
        <f aca="false">O7+O11</f>
        <v>7975825.25</v>
      </c>
      <c r="P12" s="5" t="n">
        <f aca="false">P7+P11</f>
        <v>8981045.21</v>
      </c>
      <c r="Q12" s="5" t="n">
        <f aca="false">Q7+Q11</f>
        <v>11481954.86</v>
      </c>
      <c r="R12" s="5" t="n">
        <f aca="false">R7+R11</f>
        <v>12251486.19</v>
      </c>
      <c r="S12" s="5" t="n">
        <f aca="false">S7+S11</f>
        <v>11897622.51</v>
      </c>
      <c r="T12" s="5" t="n">
        <f aca="false">T7+T11</f>
        <v>12031256.38</v>
      </c>
      <c r="U12" s="5" t="n">
        <f aca="false">U7+U11</f>
        <v>12835360.73</v>
      </c>
      <c r="V12" s="5" t="n">
        <f aca="false">V7+V11</f>
        <v>12538797.93</v>
      </c>
      <c r="W12" s="5" t="n">
        <f aca="false">W7+W11</f>
        <v>13477929.53</v>
      </c>
      <c r="X12" s="5" t="n">
        <f aca="false">E12</f>
        <v>6434330.69</v>
      </c>
      <c r="Y12" s="5" t="n">
        <f aca="false">Q12</f>
        <v>11481954.86</v>
      </c>
      <c r="Z12" s="5" t="n">
        <f aca="false">W12</f>
        <v>13477929.53</v>
      </c>
    </row>
    <row r="14" customFormat="false" ht="15" hidden="false" customHeight="false" outlineLevel="0" collapsed="false">
      <c r="A14" s="1" t="s">
        <v>48</v>
      </c>
      <c r="B14" s="4" t="n">
        <v>518417.77</v>
      </c>
      <c r="C14" s="4" t="n">
        <v>838079.02</v>
      </c>
      <c r="D14" s="4" t="n">
        <v>1110730.42</v>
      </c>
      <c r="E14" s="4" t="n">
        <v>613739.07</v>
      </c>
      <c r="F14" s="4" t="n">
        <v>688203.45</v>
      </c>
      <c r="G14" s="4" t="n">
        <v>600992.77</v>
      </c>
      <c r="H14" s="4" t="n">
        <v>606005.95</v>
      </c>
      <c r="I14" s="4" t="n">
        <v>716504.94</v>
      </c>
      <c r="J14" s="4" t="n">
        <v>739881.4</v>
      </c>
      <c r="K14" s="4" t="n">
        <v>845660.87</v>
      </c>
      <c r="L14" s="4" t="n">
        <v>950623.12</v>
      </c>
      <c r="M14" s="4" t="n">
        <v>1008125.82</v>
      </c>
      <c r="N14" s="4" t="n">
        <v>965284.41</v>
      </c>
      <c r="O14" s="4" t="n">
        <v>1133103.97</v>
      </c>
      <c r="P14" s="4" t="n">
        <v>1079573.21</v>
      </c>
      <c r="Q14" s="4" t="n">
        <v>696217.91</v>
      </c>
      <c r="R14" s="4" t="n">
        <v>868937.17</v>
      </c>
      <c r="S14" s="4" t="n">
        <v>987838.05</v>
      </c>
      <c r="T14" s="4" t="n">
        <v>872077.73</v>
      </c>
      <c r="U14" s="4" t="n">
        <v>889114.03</v>
      </c>
      <c r="V14" s="4" t="n">
        <v>1148455.87</v>
      </c>
      <c r="W14" s="4" t="n">
        <v>1032520.46</v>
      </c>
      <c r="X14" s="5" t="n">
        <f aca="false">SUM(B14:E14)</f>
        <v>3080966.28</v>
      </c>
      <c r="Y14" s="5" t="n">
        <f aca="false">SUM(F14:Q14)</f>
        <v>10030177.82</v>
      </c>
      <c r="Z14" s="5" t="n">
        <f aca="false">SUM(R14:W14)</f>
        <v>5798943.31</v>
      </c>
    </row>
    <row r="15" customFormat="false" ht="15" hidden="false" customHeight="false" outlineLevel="0" collapsed="false">
      <c r="A15" s="1" t="s">
        <v>82</v>
      </c>
      <c r="B15" s="4" t="n">
        <v>199942.98</v>
      </c>
      <c r="C15" s="4" t="n">
        <v>214121.82</v>
      </c>
      <c r="D15" s="4" t="n">
        <v>230220.44</v>
      </c>
      <c r="E15" s="4" t="n">
        <v>201338.95</v>
      </c>
      <c r="F15" s="4" t="n">
        <v>207383.45</v>
      </c>
      <c r="G15" s="4" t="n">
        <v>206310.32</v>
      </c>
      <c r="H15" s="4" t="n">
        <v>218428.2</v>
      </c>
      <c r="I15" s="4" t="n">
        <v>229275.18</v>
      </c>
      <c r="J15" s="4" t="n">
        <v>230171.98</v>
      </c>
      <c r="K15" s="4" t="n">
        <v>235110.62</v>
      </c>
      <c r="L15" s="4" t="n">
        <v>232057.72</v>
      </c>
      <c r="M15" s="4" t="n">
        <v>228759.76</v>
      </c>
      <c r="N15" s="4" t="n">
        <v>238667.79</v>
      </c>
      <c r="O15" s="4" t="n">
        <v>243021.5</v>
      </c>
      <c r="P15" s="4" t="n">
        <v>244254.99</v>
      </c>
      <c r="Q15" s="4" t="n">
        <v>215694.86</v>
      </c>
      <c r="R15" s="4" t="n">
        <v>217395.26</v>
      </c>
      <c r="S15" s="4" t="n">
        <v>228792.19</v>
      </c>
      <c r="T15" s="4" t="n">
        <v>235520.54</v>
      </c>
      <c r="U15" s="4" t="n">
        <v>236128.07</v>
      </c>
      <c r="V15" s="4" t="n">
        <v>248702.72</v>
      </c>
      <c r="W15" s="4" t="n">
        <v>249336.62</v>
      </c>
      <c r="X15" s="5" t="n">
        <f aca="false">SUM(B15:E15)</f>
        <v>845624.19</v>
      </c>
      <c r="Y15" s="5" t="n">
        <f aca="false">SUM(F15:Q15)</f>
        <v>2729136.37</v>
      </c>
      <c r="Z15" s="5" t="n">
        <f aca="false">SUM(R15:W15)</f>
        <v>1415875.4</v>
      </c>
    </row>
    <row r="16" customFormat="false" ht="15" hidden="false" customHeight="false" outlineLevel="0" collapsed="false">
      <c r="A16" s="1" t="s">
        <v>83</v>
      </c>
      <c r="B16" s="4" t="n">
        <v>0</v>
      </c>
      <c r="C16" s="4" t="n">
        <v>0</v>
      </c>
      <c r="D16" s="4" t="n">
        <v>0</v>
      </c>
      <c r="E16" s="4" t="n">
        <v>0</v>
      </c>
      <c r="F16" s="4" t="n">
        <v>17356.57</v>
      </c>
      <c r="G16" s="4" t="n">
        <v>17356.57</v>
      </c>
      <c r="H16" s="4" t="n">
        <v>17356.57</v>
      </c>
      <c r="I16" s="4" t="n">
        <v>17356.57</v>
      </c>
      <c r="J16" s="4" t="n">
        <v>17356.57</v>
      </c>
      <c r="K16" s="4" t="n">
        <v>17356.57</v>
      </c>
      <c r="L16" s="4" t="n">
        <v>17356.57</v>
      </c>
      <c r="M16" s="4" t="n">
        <v>17356.57</v>
      </c>
      <c r="N16" s="4" t="n">
        <v>17356.57</v>
      </c>
      <c r="O16" s="4" t="n">
        <v>17356.57</v>
      </c>
      <c r="P16" s="4" t="n">
        <v>17356.57</v>
      </c>
      <c r="Q16" s="4" t="n">
        <v>17356.57</v>
      </c>
      <c r="R16" s="4" t="n">
        <v>17356.57</v>
      </c>
      <c r="S16" s="4" t="n">
        <v>17356.57</v>
      </c>
      <c r="T16" s="4" t="n">
        <v>17356.57</v>
      </c>
      <c r="U16" s="4" t="n">
        <v>17356.57</v>
      </c>
      <c r="V16" s="4" t="n">
        <v>17356.57</v>
      </c>
      <c r="W16" s="4" t="n">
        <v>17356.57</v>
      </c>
      <c r="X16" s="5" t="n">
        <f aca="false">SUM(B16:E16)</f>
        <v>0</v>
      </c>
      <c r="Y16" s="5" t="n">
        <f aca="false">SUM(F16:Q16)</f>
        <v>208278.84</v>
      </c>
      <c r="Z16" s="5" t="n">
        <f aca="false">SUM(R16:W16)</f>
        <v>104139.42</v>
      </c>
    </row>
    <row r="17" customFormat="false" ht="15" hidden="false" customHeight="false" outlineLevel="0" collapsed="false">
      <c r="A17" s="1" t="s">
        <v>84</v>
      </c>
      <c r="B17" s="4" t="n">
        <v>447269.05</v>
      </c>
      <c r="C17" s="4" t="n">
        <v>1270133.39</v>
      </c>
      <c r="D17" s="4" t="n">
        <v>1574500.35</v>
      </c>
      <c r="E17" s="4" t="n">
        <v>-2154948.68</v>
      </c>
      <c r="F17" s="4" t="n">
        <v>425250.41</v>
      </c>
      <c r="G17" s="4" t="n">
        <v>-333243.08</v>
      </c>
      <c r="H17" s="4" t="n">
        <v>1149904.05</v>
      </c>
      <c r="I17" s="4" t="n">
        <v>1078655.87</v>
      </c>
      <c r="J17" s="4" t="n">
        <v>-131505.96</v>
      </c>
      <c r="K17" s="4" t="n">
        <v>341137.38</v>
      </c>
      <c r="L17" s="4" t="n">
        <v>-185280.8</v>
      </c>
      <c r="M17" s="4" t="n">
        <v>-129759.4</v>
      </c>
      <c r="N17" s="4" t="n">
        <v>975611.43</v>
      </c>
      <c r="O17" s="4" t="n">
        <v>85887.03</v>
      </c>
      <c r="P17" s="4" t="n">
        <v>-166719.63</v>
      </c>
      <c r="Q17" s="4" t="n">
        <v>-2039009.62</v>
      </c>
      <c r="R17" s="4" t="n">
        <v>-134882.42</v>
      </c>
      <c r="S17" s="4" t="n">
        <v>1105287.49</v>
      </c>
      <c r="T17" s="4" t="n">
        <v>500940.28</v>
      </c>
      <c r="U17" s="4" t="n">
        <v>-152223.85</v>
      </c>
      <c r="V17" s="4" t="n">
        <v>1205395</v>
      </c>
      <c r="W17" s="4" t="n">
        <v>-145972.25</v>
      </c>
      <c r="X17" s="5" t="n">
        <f aca="false">SUM(B17:E17)</f>
        <v>1136954.11</v>
      </c>
      <c r="Y17" s="5" t="n">
        <f aca="false">SUM(F17:Q17)</f>
        <v>1070927.68</v>
      </c>
      <c r="Z17" s="5" t="n">
        <f aca="false">SUM(R17:W17)</f>
        <v>2378544.25</v>
      </c>
    </row>
    <row r="19" customFormat="false" ht="15" hidden="false" customHeight="false" outlineLevel="0" collapsed="false">
      <c r="A19" s="1" t="s">
        <v>85</v>
      </c>
      <c r="B19" s="4" t="n">
        <v>0</v>
      </c>
      <c r="C19" s="4" t="n">
        <v>0</v>
      </c>
      <c r="D19" s="4" t="n">
        <v>0</v>
      </c>
      <c r="E19" s="4" t="n">
        <v>0</v>
      </c>
      <c r="F19" s="4" t="n">
        <v>104139422.73</v>
      </c>
      <c r="G19" s="4" t="n">
        <v>0</v>
      </c>
      <c r="H19" s="4" t="n">
        <v>0</v>
      </c>
      <c r="I19" s="4" t="n">
        <v>0</v>
      </c>
      <c r="J19" s="4" t="n">
        <v>0</v>
      </c>
      <c r="K19" s="4" t="n">
        <v>0</v>
      </c>
      <c r="L19" s="4" t="n">
        <v>0</v>
      </c>
      <c r="M19" s="4" t="n">
        <v>0</v>
      </c>
      <c r="N19" s="4" t="n">
        <v>0</v>
      </c>
      <c r="O19" s="4" t="n">
        <v>0</v>
      </c>
      <c r="P19" s="4" t="n">
        <v>0</v>
      </c>
      <c r="Q19" s="4" t="n">
        <v>0</v>
      </c>
      <c r="R19" s="4" t="n">
        <v>0</v>
      </c>
      <c r="S19" s="4" t="n">
        <v>0</v>
      </c>
      <c r="T19" s="4" t="n">
        <v>0</v>
      </c>
      <c r="U19" s="4" t="n">
        <v>0</v>
      </c>
      <c r="V19" s="4" t="n">
        <v>0</v>
      </c>
      <c r="W19" s="4" t="n">
        <v>0</v>
      </c>
      <c r="X19" s="5" t="n">
        <f aca="false">SUM(B19:E19)</f>
        <v>0</v>
      </c>
      <c r="Y19" s="5" t="n">
        <f aca="false">SUM(F19:Q19)</f>
        <v>104139422.73</v>
      </c>
      <c r="Z19" s="5" t="n">
        <f aca="false">SUM(R19:W19)</f>
        <v>0</v>
      </c>
    </row>
    <row r="20" customFormat="false" ht="15" hidden="false" customHeight="false" outlineLevel="0" collapsed="false">
      <c r="A20" s="1" t="s">
        <v>86</v>
      </c>
      <c r="B20" s="4" t="n">
        <v>0</v>
      </c>
      <c r="C20" s="4" t="n">
        <v>0</v>
      </c>
      <c r="D20" s="4" t="n">
        <v>0</v>
      </c>
      <c r="E20" s="4" t="n">
        <v>0</v>
      </c>
      <c r="F20" s="4" t="n">
        <v>104139422.73</v>
      </c>
      <c r="G20" s="4" t="n">
        <v>0</v>
      </c>
      <c r="H20" s="4" t="n">
        <v>0</v>
      </c>
      <c r="I20" s="4" t="n">
        <v>0</v>
      </c>
      <c r="J20" s="4" t="n">
        <v>0</v>
      </c>
      <c r="K20" s="4" t="n">
        <v>0</v>
      </c>
      <c r="L20" s="4" t="n">
        <v>0</v>
      </c>
      <c r="M20" s="4" t="n">
        <v>0</v>
      </c>
      <c r="N20" s="4" t="n">
        <v>0</v>
      </c>
      <c r="O20" s="4" t="n">
        <v>0</v>
      </c>
      <c r="P20" s="4" t="n">
        <v>0</v>
      </c>
      <c r="Q20" s="4" t="n">
        <v>0</v>
      </c>
      <c r="R20" s="4" t="n">
        <v>0</v>
      </c>
      <c r="S20" s="4" t="n">
        <v>0</v>
      </c>
      <c r="T20" s="4" t="n">
        <v>0</v>
      </c>
      <c r="U20" s="4" t="n">
        <v>0</v>
      </c>
      <c r="V20" s="4" t="n">
        <v>0</v>
      </c>
      <c r="W20" s="4" t="n">
        <v>0</v>
      </c>
      <c r="X20" s="5" t="n">
        <f aca="false">SUM(B20:E20)</f>
        <v>0</v>
      </c>
      <c r="Y20" s="5" t="n">
        <f aca="false">SUM(F20:Q20)</f>
        <v>104139422.73</v>
      </c>
      <c r="Z20" s="5" t="n">
        <f aca="false">SUM(R20:W20)</f>
        <v>0</v>
      </c>
    </row>
    <row r="21" customFormat="false" ht="15" hidden="false" customHeight="false" outlineLevel="0" collapsed="false">
      <c r="A21" s="1" t="s">
        <v>67</v>
      </c>
      <c r="B21" s="4" t="n">
        <v>209953.44</v>
      </c>
      <c r="C21" s="4" t="n">
        <v>209533.53</v>
      </c>
      <c r="D21" s="4" t="n">
        <v>209114.47</v>
      </c>
      <c r="E21" s="4" t="n">
        <v>208696.24</v>
      </c>
      <c r="F21" s="4" t="n">
        <v>208278.85</v>
      </c>
      <c r="G21" s="4" t="n">
        <v>207862.29</v>
      </c>
      <c r="H21" s="4" t="n">
        <v>207446.56</v>
      </c>
      <c r="I21" s="4" t="n">
        <v>207031.67</v>
      </c>
      <c r="J21" s="4" t="n">
        <v>206617.61</v>
      </c>
      <c r="K21" s="4" t="n">
        <v>206204.37</v>
      </c>
      <c r="L21" s="4" t="n">
        <v>205791.96</v>
      </c>
      <c r="M21" s="4" t="n">
        <v>205380.38</v>
      </c>
      <c r="N21" s="4" t="n">
        <v>204969.62</v>
      </c>
      <c r="O21" s="4" t="n">
        <v>204559.68</v>
      </c>
      <c r="P21" s="4" t="n">
        <v>204150.56</v>
      </c>
      <c r="Q21" s="4" t="n">
        <v>203742.26</v>
      </c>
      <c r="R21" s="4" t="n">
        <v>203334.77</v>
      </c>
      <c r="S21" s="4" t="n">
        <v>202928.1</v>
      </c>
      <c r="T21" s="4" t="n">
        <v>202522.25</v>
      </c>
      <c r="U21" s="4" t="n">
        <v>202117.2</v>
      </c>
      <c r="V21" s="4" t="n">
        <v>201712.97</v>
      </c>
      <c r="W21" s="4" t="n">
        <v>201309.54</v>
      </c>
      <c r="X21" s="5" t="n">
        <f aca="false">SUM(B21:E21)</f>
        <v>837297.68</v>
      </c>
      <c r="Y21" s="5" t="n">
        <f aca="false">SUM(F21:Q21)</f>
        <v>2472035.81</v>
      </c>
      <c r="Z21" s="5" t="n">
        <f aca="false">SUM(R21:W21)</f>
        <v>1213924.83</v>
      </c>
    </row>
    <row r="22" customFormat="false" ht="15" hidden="false" customHeight="false" outlineLevel="0" collapsed="false">
      <c r="A22" s="1" t="s">
        <v>87</v>
      </c>
      <c r="B22" s="4" t="n">
        <v>0</v>
      </c>
      <c r="C22" s="4" t="n">
        <v>0</v>
      </c>
      <c r="D22" s="4" t="n">
        <v>0</v>
      </c>
      <c r="E22" s="4" t="n">
        <v>0</v>
      </c>
      <c r="F22" s="4" t="n">
        <v>1041394.23</v>
      </c>
      <c r="G22" s="4" t="n">
        <v>0</v>
      </c>
      <c r="H22" s="4" t="n">
        <v>0</v>
      </c>
      <c r="I22" s="4" t="n">
        <v>0</v>
      </c>
      <c r="J22" s="4" t="n">
        <v>0</v>
      </c>
      <c r="K22" s="4" t="n">
        <v>0</v>
      </c>
      <c r="L22" s="4" t="n">
        <v>0</v>
      </c>
      <c r="M22" s="4" t="n">
        <v>0</v>
      </c>
      <c r="N22" s="4" t="n">
        <v>0</v>
      </c>
      <c r="O22" s="4" t="n">
        <v>0</v>
      </c>
      <c r="P22" s="4" t="n">
        <v>0</v>
      </c>
      <c r="Q22" s="4" t="n">
        <v>0</v>
      </c>
      <c r="R22" s="4" t="n">
        <v>0</v>
      </c>
      <c r="S22" s="4" t="n">
        <v>0</v>
      </c>
      <c r="T22" s="4" t="n">
        <v>0</v>
      </c>
      <c r="U22" s="4" t="n">
        <v>0</v>
      </c>
      <c r="V22" s="4" t="n">
        <v>0</v>
      </c>
      <c r="W22" s="4" t="n">
        <v>0</v>
      </c>
      <c r="X22" s="5" t="n">
        <f aca="false">SUM(B22:E22)</f>
        <v>0</v>
      </c>
      <c r="Y22" s="5" t="n">
        <f aca="false">SUM(F22:Q22)</f>
        <v>1041394.23</v>
      </c>
      <c r="Z22" s="5" t="n">
        <f aca="false">SUM(R22:W22)</f>
        <v>0</v>
      </c>
    </row>
    <row r="24" customFormat="false" ht="15" hidden="false" customHeight="false" outlineLevel="0" collapsed="false">
      <c r="A24" s="3" t="s">
        <v>88</v>
      </c>
    </row>
    <row r="25" customFormat="false" ht="15" hidden="false" customHeight="false" outlineLevel="0" collapsed="false">
      <c r="A25" s="3" t="s">
        <v>89</v>
      </c>
      <c r="B25" s="5" t="n">
        <f aca="false">'Balance Sheet'!B7</f>
        <v>5332296.19</v>
      </c>
      <c r="C25" s="5" t="n">
        <f aca="false">'Balance Sheet'!C7</f>
        <v>4643125.66</v>
      </c>
      <c r="D25" s="5" t="n">
        <f aca="false">'Balance Sheet'!D7</f>
        <v>3919081.17</v>
      </c>
      <c r="E25" s="5" t="n">
        <f aca="false">'Balance Sheet'!E7</f>
        <v>6434330.69</v>
      </c>
      <c r="F25" s="5" t="n">
        <f aca="false">'Balance Sheet'!F7</f>
        <v>5418882.01</v>
      </c>
      <c r="G25" s="5" t="n">
        <f aca="false">'Balance Sheet'!G7</f>
        <v>6116765.4</v>
      </c>
      <c r="H25" s="5" t="n">
        <f aca="false">'Balance Sheet'!H7</f>
        <v>5334237.71</v>
      </c>
      <c r="I25" s="5" t="n">
        <f aca="false">'Balance Sheet'!I7</f>
        <v>4731461.63</v>
      </c>
      <c r="J25" s="5" t="n">
        <f aca="false">'Balance Sheet'!J7</f>
        <v>5362438.62</v>
      </c>
      <c r="K25" s="5" t="n">
        <f aca="false">'Balance Sheet'!K7</f>
        <v>5625867.5</v>
      </c>
      <c r="L25" s="5" t="n">
        <f aca="false">'Balance Sheet'!L7</f>
        <v>6521767.64</v>
      </c>
      <c r="M25" s="5" t="n">
        <f aca="false">'Balance Sheet'!M7</f>
        <v>7420793.55</v>
      </c>
      <c r="N25" s="5" t="n">
        <f aca="false">'Balance Sheet'!N7</f>
        <v>7169816.2</v>
      </c>
      <c r="O25" s="5" t="n">
        <f aca="false">'Balance Sheet'!O7</f>
        <v>7975825.25</v>
      </c>
      <c r="P25" s="5" t="n">
        <f aca="false">'Balance Sheet'!P7</f>
        <v>8981045.21</v>
      </c>
      <c r="Q25" s="5" t="n">
        <f aca="false">'Balance Sheet'!Q7</f>
        <v>11481954.86</v>
      </c>
      <c r="R25" s="5" t="n">
        <f aca="false">'Balance Sheet'!R7</f>
        <v>12251486.19</v>
      </c>
      <c r="S25" s="5" t="n">
        <f aca="false">'Balance Sheet'!S7</f>
        <v>11897622.51</v>
      </c>
      <c r="T25" s="5" t="n">
        <f aca="false">'Balance Sheet'!T7</f>
        <v>12031256.38</v>
      </c>
      <c r="U25" s="5" t="n">
        <f aca="false">'Balance Sheet'!U7</f>
        <v>12835360.73</v>
      </c>
      <c r="V25" s="5" t="n">
        <f aca="false">'Balance Sheet'!V7</f>
        <v>12538797.93</v>
      </c>
      <c r="W25" s="5" t="n">
        <f aca="false">'Balance Sheet'!W7</f>
        <v>13477929.53</v>
      </c>
      <c r="X25" s="5" t="n">
        <f aca="false">E25</f>
        <v>6434330.69</v>
      </c>
      <c r="Y25" s="5" t="n">
        <f aca="false">Q25</f>
        <v>11481954.86</v>
      </c>
      <c r="Z25" s="5" t="n">
        <f aca="false">W25</f>
        <v>13477929.53</v>
      </c>
    </row>
    <row r="26" customFormat="false" ht="15" hidden="false" customHeight="false" outlineLevel="0" collapsed="false">
      <c r="A26" s="3" t="s">
        <v>90</v>
      </c>
      <c r="B26" s="5" t="n">
        <f aca="false">B12-B25</f>
        <v>0</v>
      </c>
      <c r="C26" s="5" t="n">
        <f aca="false">C12-C25</f>
        <v>0</v>
      </c>
      <c r="D26" s="5" t="n">
        <f aca="false">D12-D25</f>
        <v>0</v>
      </c>
      <c r="E26" s="5" t="n">
        <f aca="false">E12-E25</f>
        <v>0</v>
      </c>
      <c r="F26" s="5" t="n">
        <f aca="false">F12-F25</f>
        <v>0</v>
      </c>
      <c r="G26" s="5" t="n">
        <f aca="false">G12-G25</f>
        <v>0</v>
      </c>
      <c r="H26" s="5" t="n">
        <f aca="false">H12-H25</f>
        <v>0</v>
      </c>
      <c r="I26" s="5" t="n">
        <f aca="false">I12-I25</f>
        <v>0</v>
      </c>
      <c r="J26" s="5" t="n">
        <f aca="false">J12-J25</f>
        <v>0</v>
      </c>
      <c r="K26" s="5" t="n">
        <f aca="false">K12-K25</f>
        <v>0</v>
      </c>
      <c r="L26" s="5" t="n">
        <f aca="false">L12-L25</f>
        <v>0</v>
      </c>
      <c r="M26" s="5" t="n">
        <f aca="false">M12-M25</f>
        <v>0</v>
      </c>
      <c r="N26" s="5" t="n">
        <f aca="false">N12-N25</f>
        <v>0</v>
      </c>
      <c r="O26" s="5" t="n">
        <f aca="false">O12-O25</f>
        <v>0</v>
      </c>
      <c r="P26" s="5" t="n">
        <f aca="false">P12-P25</f>
        <v>0</v>
      </c>
      <c r="Q26" s="5" t="n">
        <f aca="false">Q12-Q25</f>
        <v>0</v>
      </c>
      <c r="R26" s="5" t="n">
        <f aca="false">R12-R25</f>
        <v>0</v>
      </c>
      <c r="S26" s="5" t="n">
        <f aca="false">S12-S25</f>
        <v>0</v>
      </c>
      <c r="T26" s="5" t="n">
        <f aca="false">T12-T25</f>
        <v>0</v>
      </c>
      <c r="U26" s="5" t="n">
        <f aca="false">U12-U25</f>
        <v>0</v>
      </c>
      <c r="V26" s="5" t="n">
        <f aca="false">V12-V25</f>
        <v>0</v>
      </c>
      <c r="W26" s="5" t="n">
        <f aca="false">W12-W25</f>
        <v>0</v>
      </c>
      <c r="X26" s="5" t="n">
        <f aca="false">E26</f>
        <v>0</v>
      </c>
      <c r="Y26" s="5" t="n">
        <f aca="false">Q26</f>
        <v>0</v>
      </c>
      <c r="Z26" s="5" t="n">
        <f aca="false">W26</f>
        <v>0</v>
      </c>
    </row>
    <row r="27" customFormat="false" ht="15" hidden="false" customHeight="false" outlineLevel="0" collapsed="false">
      <c r="A27" s="3" t="s">
        <v>91</v>
      </c>
      <c r="B27" s="5" t="n">
        <f aca="false">B14-'Income Statement'!B30</f>
        <v>0</v>
      </c>
      <c r="C27" s="5" t="n">
        <f aca="false">C14-'Income Statement'!C30</f>
        <v>0</v>
      </c>
      <c r="D27" s="5" t="n">
        <f aca="false">D14-'Income Statement'!D30</f>
        <v>0</v>
      </c>
      <c r="E27" s="5" t="n">
        <f aca="false">E14-'Income Statement'!E30</f>
        <v>0</v>
      </c>
      <c r="F27" s="5" t="n">
        <f aca="false">F14-'Income Statement'!F30</f>
        <v>0</v>
      </c>
      <c r="G27" s="5" t="n">
        <f aca="false">G14-'Income Statement'!G30</f>
        <v>0</v>
      </c>
      <c r="H27" s="5" t="n">
        <f aca="false">H14-'Income Statement'!H30</f>
        <v>0</v>
      </c>
      <c r="I27" s="5" t="n">
        <f aca="false">I14-'Income Statement'!I30</f>
        <v>0</v>
      </c>
      <c r="J27" s="5" t="n">
        <f aca="false">J14-'Income Statement'!J30</f>
        <v>0</v>
      </c>
      <c r="K27" s="5" t="n">
        <f aca="false">K14-'Income Statement'!K30</f>
        <v>0</v>
      </c>
      <c r="L27" s="5" t="n">
        <f aca="false">L14-'Income Statement'!L30</f>
        <v>0</v>
      </c>
      <c r="M27" s="5" t="n">
        <f aca="false">M14-'Income Statement'!M30</f>
        <v>0</v>
      </c>
      <c r="N27" s="5" t="n">
        <f aca="false">N14-'Income Statement'!N30</f>
        <v>0</v>
      </c>
      <c r="O27" s="5" t="n">
        <f aca="false">O14-'Income Statement'!O30</f>
        <v>0</v>
      </c>
      <c r="P27" s="5" t="n">
        <f aca="false">P14-'Income Statement'!P30</f>
        <v>0</v>
      </c>
      <c r="Q27" s="5" t="n">
        <f aca="false">Q14-'Income Statement'!Q30</f>
        <v>0</v>
      </c>
      <c r="R27" s="5" t="n">
        <f aca="false">R14-'Income Statement'!R30</f>
        <v>0</v>
      </c>
      <c r="S27" s="5" t="n">
        <f aca="false">S14-'Income Statement'!S30</f>
        <v>0</v>
      </c>
      <c r="T27" s="5" t="n">
        <f aca="false">T14-'Income Statement'!T30</f>
        <v>0</v>
      </c>
      <c r="U27" s="5" t="n">
        <f aca="false">U14-'Income Statement'!U30</f>
        <v>0</v>
      </c>
      <c r="V27" s="5" t="n">
        <f aca="false">V14-'Income Statement'!V30</f>
        <v>0</v>
      </c>
      <c r="W27" s="5" t="n">
        <f aca="false">W14-'Income Statement'!W30</f>
        <v>0</v>
      </c>
      <c r="X27" s="5" t="n">
        <f aca="false">SUM(B27:E27)</f>
        <v>0</v>
      </c>
      <c r="Y27" s="5" t="n">
        <f aca="false">SUM(F27:Q27)</f>
        <v>0</v>
      </c>
      <c r="Z27" s="5" t="n">
        <f aca="false">SUM(R27:W27)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20"/>
  </cols>
  <sheetData>
    <row r="1" customFormat="false" ht="35.05" hidden="false" customHeight="false" outlineLevel="0" collapsed="false">
      <c r="A1" s="6" t="s">
        <v>92</v>
      </c>
      <c r="B1" s="7" t="s">
        <v>93</v>
      </c>
    </row>
    <row r="2" customFormat="false" ht="35.05" hidden="false" customHeight="false" outlineLevel="0" collapsed="false">
      <c r="A2" s="6" t="s">
        <v>94</v>
      </c>
      <c r="B2" s="7" t="s">
        <v>95</v>
      </c>
    </row>
    <row r="3" customFormat="false" ht="35.05" hidden="false" customHeight="false" outlineLevel="0" collapsed="false">
      <c r="A3" s="6" t="s">
        <v>96</v>
      </c>
      <c r="B3" s="7" t="s">
        <v>97</v>
      </c>
    </row>
    <row r="4" customFormat="false" ht="46.25" hidden="false" customHeight="false" outlineLevel="0" collapsed="false">
      <c r="A4" s="6" t="s">
        <v>98</v>
      </c>
      <c r="B4" s="7" t="s">
        <v>99</v>
      </c>
    </row>
    <row r="5" customFormat="false" ht="68.65" hidden="false" customHeight="false" outlineLevel="0" collapsed="false">
      <c r="A5" s="6" t="s">
        <v>100</v>
      </c>
      <c r="B5" s="7" t="s">
        <v>101</v>
      </c>
    </row>
    <row r="6" customFormat="false" ht="68.65" hidden="false" customHeight="false" outlineLevel="0" collapsed="false">
      <c r="A6" s="6" t="s">
        <v>102</v>
      </c>
      <c r="B6" s="7" t="s">
        <v>103</v>
      </c>
    </row>
    <row r="7" customFormat="false" ht="35.05" hidden="false" customHeight="false" outlineLevel="0" collapsed="false">
      <c r="A7" s="6" t="s">
        <v>104</v>
      </c>
      <c r="B7" s="7" t="s">
        <v>105</v>
      </c>
    </row>
    <row r="8" customFormat="false" ht="91" hidden="false" customHeight="false" outlineLevel="0" collapsed="false">
      <c r="A8" s="6" t="s">
        <v>106</v>
      </c>
      <c r="B8" s="7" t="s">
        <v>107</v>
      </c>
    </row>
    <row r="9" customFormat="false" ht="79.85" hidden="false" customHeight="false" outlineLevel="0" collapsed="false">
      <c r="A9" s="6" t="s">
        <v>108</v>
      </c>
      <c r="B9" s="7" t="s">
        <v>109</v>
      </c>
    </row>
    <row r="10" customFormat="false" ht="57.45" hidden="false" customHeight="false" outlineLevel="0" collapsed="false">
      <c r="A10" s="6" t="s">
        <v>110</v>
      </c>
      <c r="B10" s="7" t="s">
        <v>111</v>
      </c>
    </row>
    <row r="11" customFormat="false" ht="57.45" hidden="false" customHeight="false" outlineLevel="0" collapsed="false">
      <c r="A11" s="6" t="s">
        <v>112</v>
      </c>
      <c r="B11" s="7" t="s">
        <v>113</v>
      </c>
    </row>
    <row r="12" customFormat="false" ht="79.85" hidden="false" customHeight="false" outlineLevel="0" collapsed="false">
      <c r="A12" s="6" t="s">
        <v>114</v>
      </c>
      <c r="B12" s="7" t="s">
        <v>115</v>
      </c>
    </row>
    <row r="13" customFormat="false" ht="68.65" hidden="false" customHeight="false" outlineLevel="0" collapsed="false">
      <c r="A13" s="6" t="s">
        <v>116</v>
      </c>
      <c r="B13" s="7" t="s">
        <v>117</v>
      </c>
    </row>
    <row r="14" customFormat="false" ht="124.6" hidden="false" customHeight="false" outlineLevel="0" collapsed="false">
      <c r="A14" s="6" t="s">
        <v>118</v>
      </c>
      <c r="B14" s="7" t="s">
        <v>119</v>
      </c>
    </row>
    <row r="15" customFormat="false" ht="102.2" hidden="false" customHeight="false" outlineLevel="0" collapsed="false">
      <c r="A15" s="6" t="s">
        <v>120</v>
      </c>
      <c r="B15" s="7" t="s">
        <v>121</v>
      </c>
    </row>
    <row r="16" customFormat="false" ht="91" hidden="false" customHeight="false" outlineLevel="0" collapsed="false">
      <c r="A16" s="6" t="s">
        <v>122</v>
      </c>
      <c r="B16" s="7" t="s">
        <v>123</v>
      </c>
    </row>
    <row r="17" customFormat="false" ht="102.2" hidden="false" customHeight="false" outlineLevel="0" collapsed="false">
      <c r="A17" s="6" t="s">
        <v>124</v>
      </c>
      <c r="B17" s="7" t="s">
        <v>125</v>
      </c>
    </row>
    <row r="18" customFormat="false" ht="35.05" hidden="false" customHeight="false" outlineLevel="0" collapsed="false">
      <c r="A18" s="6" t="s">
        <v>126</v>
      </c>
      <c r="B18" s="7" t="s">
        <v>127</v>
      </c>
    </row>
    <row r="19" customFormat="false" ht="23.85" hidden="false" customHeight="false" outlineLevel="0" collapsed="false">
      <c r="A19" s="6" t="s">
        <v>128</v>
      </c>
      <c r="B19" s="7" t="s">
        <v>129</v>
      </c>
    </row>
    <row r="20" customFormat="false" ht="91" hidden="false" customHeight="false" outlineLevel="0" collapsed="false">
      <c r="A20" s="6" t="s">
        <v>130</v>
      </c>
      <c r="B20" s="7" t="s">
        <v>131</v>
      </c>
    </row>
    <row r="21" customFormat="false" ht="23.85" hidden="false" customHeight="false" outlineLevel="0" collapsed="false">
      <c r="A21" s="6" t="s">
        <v>132</v>
      </c>
      <c r="B21" s="7"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2026-09-16T08:34:14Z</dcterms:created>
  <dc:creator>openpyxl</dc:creator>
  <dc:description/>
  <dc:language>en-US</dc:language>
  <cp:lastModifiedBy/>
  <dcterms:modified xsi:type="dcterms:W3CDTF">2026-09-16T08:34:14Z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